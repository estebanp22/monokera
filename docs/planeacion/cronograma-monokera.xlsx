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Detallado" sheetId="1" state="visible" r:id="rId3"/>
    <sheet name="Hitos y Seguimientos" sheetId="2" state="visible" r:id="rId4"/>
    <sheet name="Gantt" sheetId="3" state="visible" r:id="rId5"/>
    <sheet name="Calend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<sst xmlns="http://schemas.openxmlformats.org/spreadsheetml/2006/main" count="431" uniqueCount="246">
  <si>
    <t xml:space="preserve">CRONOGRAMA DETALLADO - PROYECTO MONOKERA APP</t>
  </si>
  <si>
    <t xml:space="preserve">Caso 10 - Monokera | Institución Universitaria EAM | Desarrollo en Equipo - Semestre VIII | Duración: 28 de agosto al 19 de noviembre de 2026 (12 semanas; 6 sprints que abren el viernes y cierran el jueves)</t>
  </si>
  <si>
    <t xml:space="preserve">Equipo: Santiago Arias Mosquera - Esteban Pineda Ardila - Marlon Andres Campo - David Mauricio Torres. El liderazgo de fase es rotativo: ningún líder repite en dos fases técnicas consecutivas.</t>
  </si>
  <si>
    <t xml:space="preserve">ID</t>
  </si>
  <si>
    <t xml:space="preserve">Fase</t>
  </si>
  <si>
    <t xml:space="preserve">Actividad</t>
  </si>
  <si>
    <t xml:space="preserve">Líder Responsable</t>
  </si>
  <si>
    <t xml:space="preserve">Fecha Inicio</t>
  </si>
  <si>
    <t xml:space="preserve">Fecha Fin</t>
  </si>
  <si>
    <t xml:space="preserve">Días Hábiles</t>
  </si>
  <si>
    <t xml:space="preserve">Quincena</t>
  </si>
  <si>
    <t xml:space="preserve">Entregable Asociado</t>
  </si>
  <si>
    <t xml:space="preserve">Estado</t>
  </si>
  <si>
    <t xml:space="preserve">% Avance</t>
  </si>
  <si>
    <t xml:space="preserve">P-01</t>
  </si>
  <si>
    <t xml:space="preserve">Fase Administrativa - Planeación</t>
  </si>
  <si>
    <t xml:space="preserve">Conformación del equipo y asignación de roles</t>
  </si>
  <si>
    <t xml:space="preserve">Santiago Arias Mosquera</t>
  </si>
  <si>
    <t xml:space="preserve">Q1</t>
  </si>
  <si>
    <t xml:space="preserve">Acta de constitución del proyecto</t>
  </si>
  <si>
    <t xml:space="preserve">Completado</t>
  </si>
  <si>
    <t xml:space="preserve">P-02</t>
  </si>
  <si>
    <t xml:space="preserve">Análisis del caso y definición del alcance del MVP</t>
  </si>
  <si>
    <t xml:space="preserve">P-03</t>
  </si>
  <si>
    <t xml:space="preserve">Selección y justificación del esquema metodológico</t>
  </si>
  <si>
    <t xml:space="preserve">Esquema metodológico seleccionado</t>
  </si>
  <si>
    <t xml:space="preserve">P-04</t>
  </si>
  <si>
    <t xml:space="preserve">Construcción del cronograma y la línea base</t>
  </si>
  <si>
    <t xml:space="preserve">Cronograma del proyecto</t>
  </si>
  <si>
    <t xml:space="preserve">P-05</t>
  </si>
  <si>
    <t xml:space="preserve">Elaboración del presupuesto y tabla de costos unitarios</t>
  </si>
  <si>
    <t xml:space="preserve">Presupuesto y tabla de costos unitarios</t>
  </si>
  <si>
    <t xml:space="preserve">A-01</t>
  </si>
  <si>
    <t xml:space="preserve">Fase Técnica 1 - Análisis</t>
  </si>
  <si>
    <t xml:space="preserve">Identificación y clasificación de stakeholders</t>
  </si>
  <si>
    <t xml:space="preserve">Matriz de stakeholders</t>
  </si>
  <si>
    <t xml:space="preserve">A-02</t>
  </si>
  <si>
    <t xml:space="preserve">Entrevistas con Legal, Actuaría, Marketing y Producto</t>
  </si>
  <si>
    <t xml:space="preserve">Q2</t>
  </si>
  <si>
    <t xml:space="preserve">Bitácora de reuniones</t>
  </si>
  <si>
    <t xml:space="preserve">A-03</t>
  </si>
  <si>
    <t xml:space="preserve">Levantamiento de requerimientos funcionales y no funcionales</t>
  </si>
  <si>
    <t xml:space="preserve">Documento de historias de usuario</t>
  </si>
  <si>
    <t xml:space="preserve">A-04</t>
  </si>
  <si>
    <t xml:space="preserve">Redacción de historias de usuario con criterios de aceptación</t>
  </si>
  <si>
    <t xml:space="preserve">En curso</t>
  </si>
  <si>
    <t xml:space="preserve">A-05</t>
  </si>
  <si>
    <t xml:space="preserve">Priorización del backlog (MoSCoW + valor/esfuerzo)</t>
  </si>
  <si>
    <t xml:space="preserve">Backlog priorizado</t>
  </si>
  <si>
    <t xml:space="preserve">A-06</t>
  </si>
  <si>
    <t xml:space="preserve">Construcción de la matriz de riesgos inicial</t>
  </si>
  <si>
    <t xml:space="preserve">Matriz de riesgos inicial</t>
  </si>
  <si>
    <t xml:space="preserve">A-07</t>
  </si>
  <si>
    <t xml:space="preserve">Validación del alcance del MVP con el cliente</t>
  </si>
  <si>
    <t xml:space="preserve">Acta de validación de alcance</t>
  </si>
  <si>
    <t xml:space="preserve">Pendiente</t>
  </si>
  <si>
    <t xml:space="preserve">D-01</t>
  </si>
  <si>
    <t xml:space="preserve">Fase Técnica 2 - Diseño</t>
  </si>
  <si>
    <t xml:space="preserve">Arquitectura de información y mapa de navegación</t>
  </si>
  <si>
    <t xml:space="preserve">Esteban Pineda Ardila</t>
  </si>
  <si>
    <t xml:space="preserve">Q3</t>
  </si>
  <si>
    <t xml:space="preserve">Modelo de arquitectura</t>
  </si>
  <si>
    <t xml:space="preserve">D-02</t>
  </si>
  <si>
    <t xml:space="preserve">Diagramas de actividad de los flujos críticos</t>
  </si>
  <si>
    <t xml:space="preserve">Diagramas de actividad</t>
  </si>
  <si>
    <t xml:space="preserve">D-03</t>
  </si>
  <si>
    <t xml:space="preserve">Modelo conceptual de datos de póliza (no productivo)</t>
  </si>
  <si>
    <t xml:space="preserve">Diseño de base de datos</t>
  </si>
  <si>
    <t xml:space="preserve">D-04</t>
  </si>
  <si>
    <t xml:space="preserve">Design System y guía visual de la aplicación</t>
  </si>
  <si>
    <t xml:space="preserve">Q4</t>
  </si>
  <si>
    <t xml:space="preserve">Diseño de interfaz</t>
  </si>
  <si>
    <t xml:space="preserve">D-05</t>
  </si>
  <si>
    <t xml:space="preserve">Wireframes de las 45 pantallas del MVP</t>
  </si>
  <si>
    <t xml:space="preserve">D-06</t>
  </si>
  <si>
    <t xml:space="preserve">Validación de textos contractuales con Legal y Actuaría</t>
  </si>
  <si>
    <t xml:space="preserve">Acta de validación legal</t>
  </si>
  <si>
    <t xml:space="preserve">I-01</t>
  </si>
  <si>
    <t xml:space="preserve">Fase Técnica 3 - Implementación</t>
  </si>
  <si>
    <t xml:space="preserve">Definición de patrones de GUI y estándares documentados</t>
  </si>
  <si>
    <t xml:space="preserve">Marlon Andres Campo</t>
  </si>
  <si>
    <t xml:space="preserve">Patrones de GUI y estándares</t>
  </si>
  <si>
    <t xml:space="preserve">I-02</t>
  </si>
  <si>
    <t xml:space="preserve">Montaje del repositorio estructurado y control de versiones</t>
  </si>
  <si>
    <t xml:space="preserve">Repositorio estructurado (Git)</t>
  </si>
  <si>
    <t xml:space="preserve">I-03</t>
  </si>
  <si>
    <t xml:space="preserve">Construcción de pantallas de póliza, coberturas y exclusiones</t>
  </si>
  <si>
    <t xml:space="preserve">Q5</t>
  </si>
  <si>
    <t xml:space="preserve">Sprint backlog ejecutado</t>
  </si>
  <si>
    <t xml:space="preserve">I-04</t>
  </si>
  <si>
    <t xml:space="preserve">Construcción del simulador de cambio y ampliación de plan</t>
  </si>
  <si>
    <t xml:space="preserve">I-05</t>
  </si>
  <si>
    <t xml:space="preserve">Alertas de renovación, vencimiento y estado de siniestros</t>
  </si>
  <si>
    <t xml:space="preserve">I-06</t>
  </si>
  <si>
    <t xml:space="preserve">Programacion en pares y revisión cruzada de GUI (pull requests)</t>
  </si>
  <si>
    <t xml:space="preserve">Evidencia de programacion en pares</t>
  </si>
  <si>
    <t xml:space="preserve">T-01</t>
  </si>
  <si>
    <t xml:space="preserve">Fase Técnica 4 - Pruebas</t>
  </si>
  <si>
    <t xml:space="preserve">Elaboración del plan de pruebas de usabilidad</t>
  </si>
  <si>
    <t xml:space="preserve">David Mauricio Torres</t>
  </si>
  <si>
    <t xml:space="preserve">Plan de pruebas de usabilidad</t>
  </si>
  <si>
    <t xml:space="preserve">T-02</t>
  </si>
  <si>
    <t xml:space="preserve">Reclutamiento de los 12 asegurados participantes</t>
  </si>
  <si>
    <t xml:space="preserve">T-03</t>
  </si>
  <si>
    <t xml:space="preserve">Ejecución de sesiones moderadas y remotas</t>
  </si>
  <si>
    <t xml:space="preserve">Q6</t>
  </si>
  <si>
    <t xml:space="preserve">Reporte de pruebas de usabilidad</t>
  </si>
  <si>
    <t xml:space="preserve">T-04</t>
  </si>
  <si>
    <t xml:space="preserve">Análisis de hallazgos y ajustes al prototipo</t>
  </si>
  <si>
    <t xml:space="preserve">M-01</t>
  </si>
  <si>
    <t xml:space="preserve">Fase Técnica 5 - Implantación</t>
  </si>
  <si>
    <t xml:space="preserve">Simulación de despliegue con usuario externo al equipo</t>
  </si>
  <si>
    <t xml:space="preserve">Evidencia de simulación de despliegue</t>
  </si>
  <si>
    <t xml:space="preserve">M-02</t>
  </si>
  <si>
    <t xml:space="preserve">Elaboración de la guía basica de usuario</t>
  </si>
  <si>
    <t xml:space="preserve">Guía basica de usuario</t>
  </si>
  <si>
    <t xml:space="preserve">M-03</t>
  </si>
  <si>
    <t xml:space="preserve">Consolidación del documento completo e informe financiero</t>
  </si>
  <si>
    <t xml:space="preserve">Documento completo del proyecto</t>
  </si>
  <si>
    <t xml:space="preserve">M-04</t>
  </si>
  <si>
    <t xml:space="preserve">Presentación ejecutiva final y sustentación</t>
  </si>
  <si>
    <t xml:space="preserve">Presentación ejecutiva final</t>
  </si>
  <si>
    <t xml:space="preserve">S-01</t>
  </si>
  <si>
    <t xml:space="preserve">Fase Administrativa - Seguimiento</t>
  </si>
  <si>
    <t xml:space="preserve">Reportes quincenales, control de riesgos y actualización de backlog</t>
  </si>
  <si>
    <t xml:space="preserve">Q1-Q6</t>
  </si>
  <si>
    <t xml:space="preserve">Reportes de seguimiento 1, 2 y 3</t>
  </si>
  <si>
    <t xml:space="preserve">C-01</t>
  </si>
  <si>
    <t xml:space="preserve">Fase Administrativa - Relación con el Cliente</t>
  </si>
  <si>
    <t xml:space="preserve">Bitácora de reuniones, gestión de cambios y manejo de conflictos</t>
  </si>
  <si>
    <t xml:space="preserve">Bitácora del equipo</t>
  </si>
  <si>
    <t xml:space="preserve">X-01</t>
  </si>
  <si>
    <t xml:space="preserve">Reserva de Contingencia</t>
  </si>
  <si>
    <t xml:space="preserve">Holgura para cambios regulatorios de la SFC (Diseño)</t>
  </si>
  <si>
    <t xml:space="preserve">Análisis de impacto en tiempo y costo</t>
  </si>
  <si>
    <t xml:space="preserve">Reserva</t>
  </si>
  <si>
    <t xml:space="preserve">X-02</t>
  </si>
  <si>
    <t xml:space="preserve">Holgura para re-trabajo por hallazgos de usabilidad</t>
  </si>
  <si>
    <t xml:space="preserve">TOTAL ACTIVIDADES / AVANCE GLOBAL PONDERADO</t>
  </si>
  <si>
    <t xml:space="preserve">Avance global ponderado por días hábiles de cada actividad. Corte de cálculo: 17 de septiembre de 2026. Los días hábiles excluyen sábados, domingos y los festivos de Colombia listados en la hoja Calendario.</t>
  </si>
  <si>
    <t xml:space="preserve">Las filas X-01 y X-02 son reservas de contingencia: no representan trabajo planificado sino holgura para absorber cambios de alcance o regulatorios.</t>
  </si>
  <si>
    <t xml:space="preserve">HITOS PRINCIPALES Y ENTREGAS QUINCENALES</t>
  </si>
  <si>
    <t xml:space="preserve">Fechas de seguimiento definidas por el docente en el numeral 2.11 del documento del caso.</t>
  </si>
  <si>
    <t xml:space="preserve">Hito</t>
  </si>
  <si>
    <t xml:space="preserve">Tipo</t>
  </si>
  <si>
    <t xml:space="preserve">Fecha / Periodo</t>
  </si>
  <si>
    <t xml:space="preserve">Fase asociada</t>
  </si>
  <si>
    <t xml:space="preserve">Responsable</t>
  </si>
  <si>
    <t xml:space="preserve">Entregables comprometidos</t>
  </si>
  <si>
    <t xml:space="preserve">H-00</t>
  </si>
  <si>
    <t xml:space="preserve">Inicio</t>
  </si>
  <si>
    <t xml:space="preserve">28 de agosto de 2026</t>
  </si>
  <si>
    <t xml:space="preserve">Planeación</t>
  </si>
  <si>
    <t xml:space="preserve">H-01</t>
  </si>
  <si>
    <t xml:space="preserve">Cierre de fase</t>
  </si>
  <si>
    <t xml:space="preserve">10 de septiembre de 2026</t>
  </si>
  <si>
    <t xml:space="preserve">Esquema metodológico, cronograma, presupuesto y tabla de costos unitarios</t>
  </si>
  <si>
    <t xml:space="preserve">H-02</t>
  </si>
  <si>
    <t xml:space="preserve">SEGUIMIENTO 1</t>
  </si>
  <si>
    <t xml:space="preserve">Del 21 al 26 de septiembre de 2026</t>
  </si>
  <si>
    <t xml:space="preserve">Análisis</t>
  </si>
  <si>
    <t xml:space="preserve">Reporte de seguimiento 1: avance técnico, estado del presupuesto, indicadores, riesgos, problemas, acciones correctivas y gestión con el cliente</t>
  </si>
  <si>
    <t xml:space="preserve">H-03</t>
  </si>
  <si>
    <t xml:space="preserve">24 de septiembre de 2026</t>
  </si>
  <si>
    <t xml:space="preserve">Matriz de stakeholders, historias de usuario, backlog priorizado y matriz de riesgos inicial</t>
  </si>
  <si>
    <t xml:space="preserve">H-04</t>
  </si>
  <si>
    <t xml:space="preserve">15 de octubre de 2026</t>
  </si>
  <si>
    <t xml:space="preserve">Diseño</t>
  </si>
  <si>
    <t xml:space="preserve">Modelo de arquitectura, diagramas de actividad, diseño de base de datos y diseño de interfaz</t>
  </si>
  <si>
    <t xml:space="preserve">H-05</t>
  </si>
  <si>
    <t xml:space="preserve">SEGUIMIENTO 2</t>
  </si>
  <si>
    <t xml:space="preserve">Del 19 al 24 de octubre de 2026</t>
  </si>
  <si>
    <t xml:space="preserve">Implementación</t>
  </si>
  <si>
    <t xml:space="preserve">Reporte de seguimiento 2 con indicadores actualizados y matriz de riesgos revisada</t>
  </si>
  <si>
    <t xml:space="preserve">H-06</t>
  </si>
  <si>
    <t xml:space="preserve">03 de noviembre de 2026</t>
  </si>
  <si>
    <t xml:space="preserve">Repositorio estructurado, patrones de GUI, estándares documentados y sprint backlog ejecutado</t>
  </si>
  <si>
    <t xml:space="preserve">H-07</t>
  </si>
  <si>
    <t xml:space="preserve">12 de noviembre de 2026</t>
  </si>
  <si>
    <t xml:space="preserve">Pruebas</t>
  </si>
  <si>
    <t xml:space="preserve">Plan de pruebas de usabilidad y reporte de pruebas de usabilidad</t>
  </si>
  <si>
    <t xml:space="preserve">H-08</t>
  </si>
  <si>
    <t xml:space="preserve">SEGUIMIENTO 3</t>
  </si>
  <si>
    <t xml:space="preserve">Del 16 al 21 de noviembre de 2026</t>
  </si>
  <si>
    <t xml:space="preserve">Implantación</t>
  </si>
  <si>
    <t xml:space="preserve">Reporte de seguimiento 3 e informe financiero de cierre</t>
  </si>
  <si>
    <t xml:space="preserve">H-09</t>
  </si>
  <si>
    <t xml:space="preserve">Entrega final</t>
  </si>
  <si>
    <t xml:space="preserve">19 de noviembre de 2026</t>
  </si>
  <si>
    <t xml:space="preserve">Prototipo navegable, documento completo, bitácora, evidencias, informe financiero y presentación ejecutiva final</t>
  </si>
  <si>
    <t xml:space="preserve">DIAGRAMA DE GANTT - 12 SEMANAS</t>
  </si>
  <si>
    <t xml:space="preserve">Cada celda coloreada representa una semana (viernes a jueves) de ejecución de la fase. Dos semanas consecutivas forman un sprint.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</si>
  <si>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</si>
  <si>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</si>
  <si>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</si>
  <si>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</si>
  <si>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</si>
  <si>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</si>
  <si>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</si>
  <si>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</si>
  <si>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</si>
  <si>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</si>
  <si>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</si>
  <si>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</si>
  <si>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Inicio de semana</t>
  </si>
  <si>
    <t xml:space="preserve">28/08</t>
  </si>
  <si>
    <t xml:space="preserve">04/09</t>
  </si>
  <si>
    <t xml:space="preserve">11/09</t>
  </si>
  <si>
    <t xml:space="preserve">18/09</t>
  </si>
  <si>
    <t xml:space="preserve">25/09</t>
  </si>
  <si>
    <t xml:space="preserve">02/10</t>
  </si>
  <si>
    <t xml:space="preserve">09/10</t>
  </si>
  <si>
    <t xml:space="preserve">16/10</t>
  </si>
  <si>
    <t xml:space="preserve">23/10</t>
  </si>
  <si>
    <t xml:space="preserve">30/10</t>
  </si>
  <si>
    <t xml:space="preserve">06/11</t>
  </si>
  <si>
    <t xml:space="preserve">13/11</t>
  </si>
  <si>
    <t xml:space="preserve">Seguimiento (transversal)</t>
  </si>
  <si>
    <t xml:space="preserve">Relación con el Cliente (transversal)</t>
  </si>
  <si>
    <t xml:space="preserve">Reserva X-01 (cambio regulatorio)</t>
  </si>
  <si>
    <t xml:space="preserve">Reserva X-02 (re-trabajo de usabilidad)</t>
  </si>
  <si>
    <t xml:space="preserve">HITOS DE SEGUIMIENTO</t>
  </si>
  <si>
    <t xml:space="preserve">Cortes quincenales</t>
  </si>
  <si>
    <t xml:space="preserve">S</t>
  </si>
  <si>
    <t xml:space="preserve">"S" marca la semana en que se presenta cada uno de los tres seguimientos obligatorios del proyecto.</t>
  </si>
  <si>
    <t xml:space="preserve">CALENDARIO DE SPRINTS Y FESTIVOS</t>
  </si>
  <si>
    <t xml:space="preserve">Base del calendario: la entrega final es el jueves 19 de noviembre de 2026. Contando 12 semanas hacia atrás, el primer sprint abre el viernes 28 de agosto. Todo sprint abre un viernes y cierra un jueves.</t>
  </si>
  <si>
    <t xml:space="preserve">Sprint</t>
  </si>
  <si>
    <t xml:space="preserve">Apertura (viernes)</t>
  </si>
  <si>
    <t xml:space="preserve">Cierre (jueves)</t>
  </si>
  <si>
    <t xml:space="preserve">Días calendario</t>
  </si>
  <si>
    <t xml:space="preserve">Verificación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</si>
  <si>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</si>
  <si>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</si>
  <si>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</si>
  <si>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</si>
  <si>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</si>
  <si>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</si>
  <si>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Duración total del proyecto (semanas)</t>
  </si>
  <si>
    <t xml:space="preserve">FESTIVOS DE COLOMBIA DENTRO DEL PROYECTO (no cuentan como días hábiles)</t>
  </si>
  <si>
    <t xml:space="preserve">Festivo</t>
  </si>
  <si>
    <t xml:space="preserve">Fecha</t>
  </si>
  <si>
    <t xml:space="preserve">Día de la Raza</t>
  </si>
  <si>
    <t xml:space="preserve">Todos los Santos</t>
  </si>
  <si>
    <t xml:space="preserve">Independencia de Cartagena</t>
  </si>
  <si>
    <t xml:space="preserve">Las fechas de los tres seguimientos (21-26 sep, 19-24 oct y 16-21 nov) las define el docente y no se modifican.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</si>
</sst>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%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B4C7E7"/>
      </patternFill>
    </fill>
    <fill>
      <patternFill patternType="solid">
        <fgColor rgb="FFC6E0B4"/>
        <bgColor rgb="FFD0CECE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C2E9"/>
        <bgColor rgb="FFD0CECE"/>
      </patternFill>
    </fill>
    <fill>
      <patternFill patternType="solid">
        <fgColor rgb="FFB4C7E7"/>
        <bgColor rgb="FFBDD7EE"/>
      </patternFill>
    </fill>
    <fill>
      <patternFill patternType="solid">
        <fgColor rgb="FFD0CECE"/>
        <bgColor rgb="FFD9C2E9"/>
      </patternFill>
    </fill>
    <fill>
      <patternFill patternType="solid">
        <fgColor rgb="FFFFC7CE"/>
        <bgColor rgb="FFF8CBAD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BDD7EE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B4C7E7"/>
      <rgbColor rgb="FFFFC7CE"/>
      <rgbColor rgb="FFD0CECE"/>
      <rgbColor rgb="FFF8CBAD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54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34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6" t="s">
        <v>15</v>
      </c>
      <c r="C6" s="7" t="s">
        <v>16</v>
      </c>
      <c r="D6" s="8" t="s">
        <v>17</v>
      </c>
      <c r="E6" s="9" t="n">
        <v>46262</v>
      </c>
      <c r="F6" s="9" t="n">
        <v>46265</v>
      </c>
      <c r="G6" s="10" t="n">
        <f aca="false">NETWORKDAYS(E6,F6,Calendario!$B$14:$B$16)</f>
        <v>2</v>
      </c>
      <c r="H6" s="10" t="s">
        <v>18</v>
      </c>
      <c r="I6" s="11" t="s">
        <v>19</v>
      </c>
      <c r="J6" s="10" t="s">
        <v>20</v>
      </c>
      <c r="K6" s="12" t="n">
        <v>1</v>
      </c>
    </row>
    <row r="7" customFormat="false" ht="15" hidden="false" customHeight="false" outlineLevel="0" collapsed="false">
      <c r="A7" s="5" t="s">
        <v>21</v>
      </c>
      <c r="B7" s="6" t="s">
        <v>15</v>
      </c>
      <c r="C7" s="7" t="s">
        <v>22</v>
      </c>
      <c r="D7" s="8" t="s">
        <v>17</v>
      </c>
      <c r="E7" s="9" t="n">
        <v>46262</v>
      </c>
      <c r="F7" s="9" t="n">
        <v>46267</v>
      </c>
      <c r="G7" s="10" t="n">
        <f aca="false">NETWORKDAYS(E7,F7,Calendario!$B$14:$B$16)</f>
        <v>4</v>
      </c>
      <c r="H7" s="10" t="s">
        <v>18</v>
      </c>
      <c r="I7" s="11" t="s">
        <v>19</v>
      </c>
      <c r="J7" s="10" t="s">
        <v>20</v>
      </c>
      <c r="K7" s="12" t="n">
        <v>1</v>
      </c>
    </row>
    <row r="8" customFormat="false" ht="15" hidden="false" customHeight="false" outlineLevel="0" collapsed="false">
      <c r="A8" s="5" t="s">
        <v>23</v>
      </c>
      <c r="B8" s="6" t="s">
        <v>15</v>
      </c>
      <c r="C8" s="7" t="s">
        <v>24</v>
      </c>
      <c r="D8" s="8" t="s">
        <v>17</v>
      </c>
      <c r="E8" s="9" t="n">
        <v>46266</v>
      </c>
      <c r="F8" s="9" t="n">
        <v>46269</v>
      </c>
      <c r="G8" s="10" t="n">
        <f aca="false">NETWORKDAYS(E8,F8,Calendario!$B$14:$B$16)</f>
        <v>4</v>
      </c>
      <c r="H8" s="10" t="s">
        <v>18</v>
      </c>
      <c r="I8" s="11" t="s">
        <v>25</v>
      </c>
      <c r="J8" s="10" t="s">
        <v>20</v>
      </c>
      <c r="K8" s="12" t="n">
        <v>1</v>
      </c>
    </row>
    <row r="9" customFormat="false" ht="15" hidden="false" customHeight="false" outlineLevel="0" collapsed="false">
      <c r="A9" s="5" t="s">
        <v>26</v>
      </c>
      <c r="B9" s="6" t="s">
        <v>15</v>
      </c>
      <c r="C9" s="7" t="s">
        <v>27</v>
      </c>
      <c r="D9" s="8" t="s">
        <v>17</v>
      </c>
      <c r="E9" s="9" t="n">
        <v>46268</v>
      </c>
      <c r="F9" s="9" t="n">
        <v>46273</v>
      </c>
      <c r="G9" s="10" t="n">
        <f aca="false">NETWORKDAYS(E9,F9,Calendario!$B$14:$B$16)</f>
        <v>4</v>
      </c>
      <c r="H9" s="10" t="s">
        <v>18</v>
      </c>
      <c r="I9" s="11" t="s">
        <v>28</v>
      </c>
      <c r="J9" s="10" t="s">
        <v>20</v>
      </c>
      <c r="K9" s="12" t="n">
        <v>1</v>
      </c>
    </row>
    <row r="10" customFormat="false" ht="15" hidden="false" customHeight="false" outlineLevel="0" collapsed="false">
      <c r="A10" s="5" t="s">
        <v>29</v>
      </c>
      <c r="B10" s="6" t="s">
        <v>15</v>
      </c>
      <c r="C10" s="7" t="s">
        <v>30</v>
      </c>
      <c r="D10" s="8" t="s">
        <v>17</v>
      </c>
      <c r="E10" s="9" t="n">
        <v>46269</v>
      </c>
      <c r="F10" s="9" t="n">
        <v>46275</v>
      </c>
      <c r="G10" s="10" t="n">
        <f aca="false">NETWORKDAYS(E10,F10,Calendario!$B$14:$B$16)</f>
        <v>5</v>
      </c>
      <c r="H10" s="10" t="s">
        <v>18</v>
      </c>
      <c r="I10" s="11" t="s">
        <v>31</v>
      </c>
      <c r="J10" s="10" t="s">
        <v>20</v>
      </c>
      <c r="K10" s="12" t="n">
        <v>1</v>
      </c>
    </row>
    <row r="11" customFormat="false" ht="15" hidden="false" customHeight="false" outlineLevel="0" collapsed="false">
      <c r="A11" s="5" t="s">
        <v>32</v>
      </c>
      <c r="B11" s="13" t="s">
        <v>33</v>
      </c>
      <c r="C11" s="7" t="s">
        <v>34</v>
      </c>
      <c r="D11" s="8" t="s">
        <v>17</v>
      </c>
      <c r="E11" s="9" t="n">
        <v>46268</v>
      </c>
      <c r="F11" s="9" t="n">
        <v>46274</v>
      </c>
      <c r="G11" s="10" t="n">
        <f aca="false">NETWORKDAYS(E11,F11,Calendario!$B$14:$B$16)</f>
        <v>5</v>
      </c>
      <c r="H11" s="10" t="s">
        <v>18</v>
      </c>
      <c r="I11" s="11" t="s">
        <v>35</v>
      </c>
      <c r="J11" s="10" t="s">
        <v>20</v>
      </c>
      <c r="K11" s="12" t="n">
        <v>1</v>
      </c>
    </row>
    <row r="12" customFormat="false" ht="15" hidden="false" customHeight="false" outlineLevel="0" collapsed="false">
      <c r="A12" s="5" t="s">
        <v>36</v>
      </c>
      <c r="B12" s="13" t="s">
        <v>33</v>
      </c>
      <c r="C12" s="7" t="s">
        <v>37</v>
      </c>
      <c r="D12" s="8" t="s">
        <v>17</v>
      </c>
      <c r="E12" s="9" t="n">
        <v>46272</v>
      </c>
      <c r="F12" s="9" t="n">
        <v>46280</v>
      </c>
      <c r="G12" s="10" t="n">
        <f aca="false">NETWORKDAYS(E12,F12,Calendario!$B$14:$B$16)</f>
        <v>7</v>
      </c>
      <c r="H12" s="10" t="s">
        <v>38</v>
      </c>
      <c r="I12" s="11" t="s">
        <v>39</v>
      </c>
      <c r="J12" s="10" t="s">
        <v>20</v>
      </c>
      <c r="K12" s="12" t="n">
        <v>1</v>
      </c>
    </row>
    <row r="13" customFormat="false" ht="15" hidden="false" customHeight="false" outlineLevel="0" collapsed="false">
      <c r="A13" s="5" t="s">
        <v>40</v>
      </c>
      <c r="B13" s="13" t="s">
        <v>33</v>
      </c>
      <c r="C13" s="7" t="s">
        <v>41</v>
      </c>
      <c r="D13" s="8" t="s">
        <v>17</v>
      </c>
      <c r="E13" s="9" t="n">
        <v>46274</v>
      </c>
      <c r="F13" s="9" t="n">
        <v>46282</v>
      </c>
      <c r="G13" s="10" t="n">
        <f aca="false">NETWORKDAYS(E13,F13,Calendario!$B$14:$B$16)</f>
        <v>7</v>
      </c>
      <c r="H13" s="10" t="s">
        <v>38</v>
      </c>
      <c r="I13" s="11" t="s">
        <v>42</v>
      </c>
      <c r="J13" s="10" t="s">
        <v>20</v>
      </c>
      <c r="K13" s="12" t="n">
        <v>1</v>
      </c>
    </row>
    <row r="14" customFormat="false" ht="15" hidden="false" customHeight="false" outlineLevel="0" collapsed="false">
      <c r="A14" s="5" t="s">
        <v>43</v>
      </c>
      <c r="B14" s="13" t="s">
        <v>33</v>
      </c>
      <c r="C14" s="7" t="s">
        <v>44</v>
      </c>
      <c r="D14" s="8" t="s">
        <v>17</v>
      </c>
      <c r="E14" s="9" t="n">
        <v>46279</v>
      </c>
      <c r="F14" s="9" t="n">
        <v>46286</v>
      </c>
      <c r="G14" s="10" t="n">
        <f aca="false">NETWORKDAYS(E14,F14,Calendario!$B$14:$B$16)</f>
        <v>6</v>
      </c>
      <c r="H14" s="10" t="s">
        <v>38</v>
      </c>
      <c r="I14" s="11" t="s">
        <v>42</v>
      </c>
      <c r="J14" s="10" t="s">
        <v>45</v>
      </c>
      <c r="K14" s="12" t="n">
        <v>0.85</v>
      </c>
    </row>
    <row r="15" customFormat="false" ht="15" hidden="false" customHeight="false" outlineLevel="0" collapsed="false">
      <c r="A15" s="5" t="s">
        <v>46</v>
      </c>
      <c r="B15" s="13" t="s">
        <v>33</v>
      </c>
      <c r="C15" s="7" t="s">
        <v>47</v>
      </c>
      <c r="D15" s="8" t="s">
        <v>17</v>
      </c>
      <c r="E15" s="9" t="n">
        <v>46281</v>
      </c>
      <c r="F15" s="9" t="n">
        <v>46288</v>
      </c>
      <c r="G15" s="10" t="n">
        <f aca="false">NETWORKDAYS(E15,F15,Calendario!$B$14:$B$16)</f>
        <v>6</v>
      </c>
      <c r="H15" s="10" t="s">
        <v>38</v>
      </c>
      <c r="I15" s="11" t="s">
        <v>48</v>
      </c>
      <c r="J15" s="10" t="s">
        <v>45</v>
      </c>
      <c r="K15" s="12" t="n">
        <v>0.7</v>
      </c>
    </row>
    <row r="16" customFormat="false" ht="15" hidden="false" customHeight="false" outlineLevel="0" collapsed="false">
      <c r="A16" s="5" t="s">
        <v>49</v>
      </c>
      <c r="B16" s="13" t="s">
        <v>33</v>
      </c>
      <c r="C16" s="7" t="s">
        <v>50</v>
      </c>
      <c r="D16" s="8" t="s">
        <v>17</v>
      </c>
      <c r="E16" s="9" t="n">
        <v>46282</v>
      </c>
      <c r="F16" s="9" t="n">
        <v>46288</v>
      </c>
      <c r="G16" s="10" t="n">
        <f aca="false">NETWORKDAYS(E16,F16,Calendario!$B$14:$B$16)</f>
        <v>5</v>
      </c>
      <c r="H16" s="10" t="s">
        <v>38</v>
      </c>
      <c r="I16" s="11" t="s">
        <v>51</v>
      </c>
      <c r="J16" s="10" t="s">
        <v>45</v>
      </c>
      <c r="K16" s="12" t="n">
        <v>0.6</v>
      </c>
    </row>
    <row r="17" customFormat="false" ht="15" hidden="false" customHeight="false" outlineLevel="0" collapsed="false">
      <c r="A17" s="5" t="s">
        <v>52</v>
      </c>
      <c r="B17" s="13" t="s">
        <v>33</v>
      </c>
      <c r="C17" s="7" t="s">
        <v>53</v>
      </c>
      <c r="D17" s="8" t="s">
        <v>17</v>
      </c>
      <c r="E17" s="9" t="n">
        <v>46287</v>
      </c>
      <c r="F17" s="9" t="n">
        <v>46289</v>
      </c>
      <c r="G17" s="10" t="n">
        <f aca="false">NETWORKDAYS(E17,F17,Calendario!$B$14:$B$16)</f>
        <v>3</v>
      </c>
      <c r="H17" s="10" t="s">
        <v>38</v>
      </c>
      <c r="I17" s="11" t="s">
        <v>54</v>
      </c>
      <c r="J17" s="10" t="s">
        <v>55</v>
      </c>
      <c r="K17" s="12" t="n">
        <v>0</v>
      </c>
    </row>
    <row r="18" customFormat="false" ht="15" hidden="false" customHeight="false" outlineLevel="0" collapsed="false">
      <c r="A18" s="5" t="s">
        <v>56</v>
      </c>
      <c r="B18" s="14" t="s">
        <v>57</v>
      </c>
      <c r="C18" s="7" t="s">
        <v>58</v>
      </c>
      <c r="D18" s="8" t="s">
        <v>59</v>
      </c>
      <c r="E18" s="9" t="n">
        <v>46290</v>
      </c>
      <c r="F18" s="9" t="n">
        <v>46297</v>
      </c>
      <c r="G18" s="10" t="n">
        <f aca="false">NETWORKDAYS(E18,F18,Calendario!$B$14:$B$16)</f>
        <v>6</v>
      </c>
      <c r="H18" s="10" t="s">
        <v>60</v>
      </c>
      <c r="I18" s="11" t="s">
        <v>61</v>
      </c>
      <c r="J18" s="10" t="s">
        <v>55</v>
      </c>
      <c r="K18" s="12" t="n">
        <v>0</v>
      </c>
    </row>
    <row r="19" customFormat="false" ht="15" hidden="false" customHeight="false" outlineLevel="0" collapsed="false">
      <c r="A19" s="5" t="s">
        <v>62</v>
      </c>
      <c r="B19" s="14" t="s">
        <v>57</v>
      </c>
      <c r="C19" s="7" t="s">
        <v>63</v>
      </c>
      <c r="D19" s="8" t="s">
        <v>59</v>
      </c>
      <c r="E19" s="9" t="n">
        <v>46293</v>
      </c>
      <c r="F19" s="9" t="n">
        <v>46301</v>
      </c>
      <c r="G19" s="10" t="n">
        <f aca="false">NETWORKDAYS(E19,F19,Calendario!$B$14:$B$16)</f>
        <v>7</v>
      </c>
      <c r="H19" s="10" t="s">
        <v>60</v>
      </c>
      <c r="I19" s="11" t="s">
        <v>64</v>
      </c>
      <c r="J19" s="10" t="s">
        <v>55</v>
      </c>
      <c r="K19" s="12" t="n">
        <v>0</v>
      </c>
    </row>
    <row r="20" customFormat="false" ht="15" hidden="false" customHeight="false" outlineLevel="0" collapsed="false">
      <c r="A20" s="5" t="s">
        <v>65</v>
      </c>
      <c r="B20" s="14" t="s">
        <v>57</v>
      </c>
      <c r="C20" s="7" t="s">
        <v>66</v>
      </c>
      <c r="D20" s="8" t="s">
        <v>59</v>
      </c>
      <c r="E20" s="9" t="n">
        <v>46295</v>
      </c>
      <c r="F20" s="9" t="n">
        <v>46302</v>
      </c>
      <c r="G20" s="10" t="n">
        <f aca="false">NETWORKDAYS(E20,F20,Calendario!$B$14:$B$16)</f>
        <v>6</v>
      </c>
      <c r="H20" s="10" t="s">
        <v>60</v>
      </c>
      <c r="I20" s="11" t="s">
        <v>67</v>
      </c>
      <c r="J20" s="10" t="s">
        <v>55</v>
      </c>
      <c r="K20" s="12" t="n">
        <v>0</v>
      </c>
    </row>
    <row r="21" customFormat="false" ht="15" hidden="false" customHeight="false" outlineLevel="0" collapsed="false">
      <c r="A21" s="5" t="s">
        <v>68</v>
      </c>
      <c r="B21" s="14" t="s">
        <v>57</v>
      </c>
      <c r="C21" s="7" t="s">
        <v>69</v>
      </c>
      <c r="D21" s="8" t="s">
        <v>59</v>
      </c>
      <c r="E21" s="9" t="n">
        <v>46300</v>
      </c>
      <c r="F21" s="9" t="n">
        <v>46308</v>
      </c>
      <c r="G21" s="10" t="n">
        <f aca="false">NETWORKDAYS(E21,F21,Calendario!$B$14:$B$16)</f>
        <v>6</v>
      </c>
      <c r="H21" s="10" t="s">
        <v>70</v>
      </c>
      <c r="I21" s="11" t="s">
        <v>71</v>
      </c>
      <c r="J21" s="10" t="s">
        <v>55</v>
      </c>
      <c r="K21" s="12" t="n">
        <v>0</v>
      </c>
    </row>
    <row r="22" customFormat="false" ht="15" hidden="false" customHeight="false" outlineLevel="0" collapsed="false">
      <c r="A22" s="5" t="s">
        <v>72</v>
      </c>
      <c r="B22" s="14" t="s">
        <v>57</v>
      </c>
      <c r="C22" s="7" t="s">
        <v>73</v>
      </c>
      <c r="D22" s="8" t="s">
        <v>59</v>
      </c>
      <c r="E22" s="9" t="n">
        <v>46302</v>
      </c>
      <c r="F22" s="9" t="n">
        <v>46310</v>
      </c>
      <c r="G22" s="10" t="n">
        <f aca="false">NETWORKDAYS(E22,F22,Calendario!$B$14:$B$16)</f>
        <v>6</v>
      </c>
      <c r="H22" s="10" t="s">
        <v>70</v>
      </c>
      <c r="I22" s="11" t="s">
        <v>71</v>
      </c>
      <c r="J22" s="10" t="s">
        <v>55</v>
      </c>
      <c r="K22" s="12" t="n">
        <v>0</v>
      </c>
    </row>
    <row r="23" customFormat="false" ht="15" hidden="false" customHeight="false" outlineLevel="0" collapsed="false">
      <c r="A23" s="5" t="s">
        <v>74</v>
      </c>
      <c r="B23" s="14" t="s">
        <v>57</v>
      </c>
      <c r="C23" s="7" t="s">
        <v>75</v>
      </c>
      <c r="D23" s="8" t="s">
        <v>59</v>
      </c>
      <c r="E23" s="9" t="n">
        <v>46308</v>
      </c>
      <c r="F23" s="9" t="n">
        <v>46310</v>
      </c>
      <c r="G23" s="10" t="n">
        <f aca="false">NETWORKDAYS(E23,F23,Calendario!$B$14:$B$16)</f>
        <v>3</v>
      </c>
      <c r="H23" s="10" t="s">
        <v>70</v>
      </c>
      <c r="I23" s="11" t="s">
        <v>76</v>
      </c>
      <c r="J23" s="10" t="s">
        <v>55</v>
      </c>
      <c r="K23" s="12" t="n">
        <v>0</v>
      </c>
    </row>
    <row r="24" customFormat="false" ht="15" hidden="false" customHeight="false" outlineLevel="0" collapsed="false">
      <c r="A24" s="5" t="s">
        <v>77</v>
      </c>
      <c r="B24" s="15" t="s">
        <v>78</v>
      </c>
      <c r="C24" s="7" t="s">
        <v>79</v>
      </c>
      <c r="D24" s="8" t="s">
        <v>80</v>
      </c>
      <c r="E24" s="9" t="n">
        <v>46304</v>
      </c>
      <c r="F24" s="9" t="n">
        <v>46311</v>
      </c>
      <c r="G24" s="10" t="n">
        <f aca="false">NETWORKDAYS(E24,F24,Calendario!$B$14:$B$16)</f>
        <v>5</v>
      </c>
      <c r="H24" s="10" t="s">
        <v>70</v>
      </c>
      <c r="I24" s="11" t="s">
        <v>81</v>
      </c>
      <c r="J24" s="10" t="s">
        <v>55</v>
      </c>
      <c r="K24" s="12" t="n">
        <v>0</v>
      </c>
    </row>
    <row r="25" customFormat="false" ht="15" hidden="false" customHeight="false" outlineLevel="0" collapsed="false">
      <c r="A25" s="5" t="s">
        <v>82</v>
      </c>
      <c r="B25" s="15" t="s">
        <v>78</v>
      </c>
      <c r="C25" s="7" t="s">
        <v>83</v>
      </c>
      <c r="D25" s="8" t="s">
        <v>80</v>
      </c>
      <c r="E25" s="9" t="n">
        <v>46309</v>
      </c>
      <c r="F25" s="9" t="n">
        <v>46314</v>
      </c>
      <c r="G25" s="10" t="n">
        <f aca="false">NETWORKDAYS(E25,F25,Calendario!$B$14:$B$16)</f>
        <v>4</v>
      </c>
      <c r="H25" s="10" t="s">
        <v>70</v>
      </c>
      <c r="I25" s="11" t="s">
        <v>84</v>
      </c>
      <c r="J25" s="10" t="s">
        <v>55</v>
      </c>
      <c r="K25" s="12" t="n">
        <v>0</v>
      </c>
    </row>
    <row r="26" customFormat="false" ht="15" hidden="false" customHeight="false" outlineLevel="0" collapsed="false">
      <c r="A26" s="5" t="s">
        <v>85</v>
      </c>
      <c r="B26" s="15" t="s">
        <v>78</v>
      </c>
      <c r="C26" s="7" t="s">
        <v>86</v>
      </c>
      <c r="D26" s="8" t="s">
        <v>80</v>
      </c>
      <c r="E26" s="9" t="n">
        <v>46314</v>
      </c>
      <c r="F26" s="9" t="n">
        <v>46323</v>
      </c>
      <c r="G26" s="10" t="n">
        <f aca="false">NETWORKDAYS(E26,F26,Calendario!$B$14:$B$16)</f>
        <v>8</v>
      </c>
      <c r="H26" s="10" t="s">
        <v>87</v>
      </c>
      <c r="I26" s="11" t="s">
        <v>88</v>
      </c>
      <c r="J26" s="10" t="s">
        <v>55</v>
      </c>
      <c r="K26" s="12" t="n">
        <v>0</v>
      </c>
    </row>
    <row r="27" customFormat="false" ht="15" hidden="false" customHeight="false" outlineLevel="0" collapsed="false">
      <c r="A27" s="5" t="s">
        <v>89</v>
      </c>
      <c r="B27" s="15" t="s">
        <v>78</v>
      </c>
      <c r="C27" s="7" t="s">
        <v>90</v>
      </c>
      <c r="D27" s="8" t="s">
        <v>80</v>
      </c>
      <c r="E27" s="9" t="n">
        <v>46317</v>
      </c>
      <c r="F27" s="9" t="n">
        <v>46325</v>
      </c>
      <c r="G27" s="10" t="n">
        <f aca="false">NETWORKDAYS(E27,F27,Calendario!$B$14:$B$16)</f>
        <v>7</v>
      </c>
      <c r="H27" s="10" t="s">
        <v>87</v>
      </c>
      <c r="I27" s="11" t="s">
        <v>88</v>
      </c>
      <c r="J27" s="10" t="s">
        <v>55</v>
      </c>
      <c r="K27" s="12" t="n">
        <v>0</v>
      </c>
    </row>
    <row r="28" customFormat="false" ht="15" hidden="false" customHeight="false" outlineLevel="0" collapsed="false">
      <c r="A28" s="5" t="s">
        <v>91</v>
      </c>
      <c r="B28" s="15" t="s">
        <v>78</v>
      </c>
      <c r="C28" s="7" t="s">
        <v>92</v>
      </c>
      <c r="D28" s="8" t="s">
        <v>80</v>
      </c>
      <c r="E28" s="9" t="n">
        <v>46321</v>
      </c>
      <c r="F28" s="9" t="n">
        <v>46329</v>
      </c>
      <c r="G28" s="10" t="n">
        <f aca="false">NETWORKDAYS(E28,F28,Calendario!$B$14:$B$16)</f>
        <v>6</v>
      </c>
      <c r="H28" s="10" t="s">
        <v>87</v>
      </c>
      <c r="I28" s="11" t="s">
        <v>88</v>
      </c>
      <c r="J28" s="10" t="s">
        <v>55</v>
      </c>
      <c r="K28" s="12" t="n">
        <v>0</v>
      </c>
    </row>
    <row r="29" customFormat="false" ht="15" hidden="false" customHeight="false" outlineLevel="0" collapsed="false">
      <c r="A29" s="5" t="s">
        <v>93</v>
      </c>
      <c r="B29" s="15" t="s">
        <v>78</v>
      </c>
      <c r="C29" s="7" t="s">
        <v>94</v>
      </c>
      <c r="D29" s="8" t="s">
        <v>80</v>
      </c>
      <c r="E29" s="9" t="n">
        <v>46315</v>
      </c>
      <c r="F29" s="9" t="n">
        <v>46329</v>
      </c>
      <c r="G29" s="10" t="n">
        <f aca="false">NETWORKDAYS(E29,F29,Calendario!$B$14:$B$16)</f>
        <v>10</v>
      </c>
      <c r="H29" s="10" t="s">
        <v>87</v>
      </c>
      <c r="I29" s="11" t="s">
        <v>95</v>
      </c>
      <c r="J29" s="10" t="s">
        <v>55</v>
      </c>
      <c r="K29" s="12" t="n">
        <v>0</v>
      </c>
    </row>
    <row r="30" customFormat="false" ht="15" hidden="false" customHeight="false" outlineLevel="0" collapsed="false">
      <c r="A30" s="5" t="s">
        <v>96</v>
      </c>
      <c r="B30" s="16" t="s">
        <v>97</v>
      </c>
      <c r="C30" s="7" t="s">
        <v>98</v>
      </c>
      <c r="D30" s="8" t="s">
        <v>99</v>
      </c>
      <c r="E30" s="9" t="n">
        <v>46321</v>
      </c>
      <c r="F30" s="9" t="n">
        <v>46325</v>
      </c>
      <c r="G30" s="10" t="n">
        <f aca="false">NETWORKDAYS(E30,F30,Calendario!$B$14:$B$16)</f>
        <v>5</v>
      </c>
      <c r="H30" s="10" t="s">
        <v>87</v>
      </c>
      <c r="I30" s="11" t="s">
        <v>100</v>
      </c>
      <c r="J30" s="10" t="s">
        <v>55</v>
      </c>
      <c r="K30" s="12" t="n">
        <v>0</v>
      </c>
    </row>
    <row r="31" customFormat="false" ht="15" hidden="false" customHeight="false" outlineLevel="0" collapsed="false">
      <c r="A31" s="5" t="s">
        <v>101</v>
      </c>
      <c r="B31" s="16" t="s">
        <v>97</v>
      </c>
      <c r="C31" s="7" t="s">
        <v>102</v>
      </c>
      <c r="D31" s="8" t="s">
        <v>99</v>
      </c>
      <c r="E31" s="9" t="n">
        <v>46323</v>
      </c>
      <c r="F31" s="9" t="n">
        <v>46330</v>
      </c>
      <c r="G31" s="10" t="n">
        <f aca="false">NETWORKDAYS(E31,F31,Calendario!$B$14:$B$16)</f>
        <v>5</v>
      </c>
      <c r="H31" s="10" t="s">
        <v>87</v>
      </c>
      <c r="I31" s="11" t="s">
        <v>100</v>
      </c>
      <c r="J31" s="10" t="s">
        <v>55</v>
      </c>
      <c r="K31" s="12" t="n">
        <v>0</v>
      </c>
    </row>
    <row r="32" customFormat="false" ht="15" hidden="false" customHeight="false" outlineLevel="0" collapsed="false">
      <c r="A32" s="5" t="s">
        <v>103</v>
      </c>
      <c r="B32" s="16" t="s">
        <v>97</v>
      </c>
      <c r="C32" s="7" t="s">
        <v>104</v>
      </c>
      <c r="D32" s="8" t="s">
        <v>99</v>
      </c>
      <c r="E32" s="9" t="n">
        <v>46329</v>
      </c>
      <c r="F32" s="9" t="n">
        <v>46336</v>
      </c>
      <c r="G32" s="10" t="n">
        <f aca="false">NETWORKDAYS(E32,F32,Calendario!$B$14:$B$16)</f>
        <v>6</v>
      </c>
      <c r="H32" s="10" t="s">
        <v>105</v>
      </c>
      <c r="I32" s="11" t="s">
        <v>106</v>
      </c>
      <c r="J32" s="10" t="s">
        <v>55</v>
      </c>
      <c r="K32" s="12" t="n">
        <v>0</v>
      </c>
    </row>
    <row r="33" customFormat="false" ht="15" hidden="false" customHeight="false" outlineLevel="0" collapsed="false">
      <c r="A33" s="5" t="s">
        <v>107</v>
      </c>
      <c r="B33" s="16" t="s">
        <v>97</v>
      </c>
      <c r="C33" s="7" t="s">
        <v>108</v>
      </c>
      <c r="D33" s="8" t="s">
        <v>99</v>
      </c>
      <c r="E33" s="9" t="n">
        <v>46332</v>
      </c>
      <c r="F33" s="9" t="n">
        <v>46338</v>
      </c>
      <c r="G33" s="10" t="n">
        <f aca="false">NETWORKDAYS(E33,F33,Calendario!$B$14:$B$16)</f>
        <v>5</v>
      </c>
      <c r="H33" s="10" t="s">
        <v>105</v>
      </c>
      <c r="I33" s="11" t="s">
        <v>106</v>
      </c>
      <c r="J33" s="10" t="s">
        <v>55</v>
      </c>
      <c r="K33" s="12" t="n">
        <v>0</v>
      </c>
    </row>
    <row r="34" customFormat="false" ht="15" hidden="false" customHeight="false" outlineLevel="0" collapsed="false">
      <c r="A34" s="5" t="s">
        <v>109</v>
      </c>
      <c r="B34" s="17" t="s">
        <v>110</v>
      </c>
      <c r="C34" s="7" t="s">
        <v>111</v>
      </c>
      <c r="D34" s="8" t="s">
        <v>59</v>
      </c>
      <c r="E34" s="9" t="n">
        <v>46336</v>
      </c>
      <c r="F34" s="9" t="n">
        <v>46339</v>
      </c>
      <c r="G34" s="10" t="n">
        <f aca="false">NETWORKDAYS(E34,F34,Calendario!$B$14:$B$16)</f>
        <v>4</v>
      </c>
      <c r="H34" s="10" t="s">
        <v>105</v>
      </c>
      <c r="I34" s="11" t="s">
        <v>112</v>
      </c>
      <c r="J34" s="10" t="s">
        <v>55</v>
      </c>
      <c r="K34" s="12" t="n">
        <v>0</v>
      </c>
    </row>
    <row r="35" customFormat="false" ht="15" hidden="false" customHeight="false" outlineLevel="0" collapsed="false">
      <c r="A35" s="5" t="s">
        <v>113</v>
      </c>
      <c r="B35" s="17" t="s">
        <v>110</v>
      </c>
      <c r="C35" s="7" t="s">
        <v>114</v>
      </c>
      <c r="D35" s="8" t="s">
        <v>59</v>
      </c>
      <c r="E35" s="9" t="n">
        <v>46337</v>
      </c>
      <c r="F35" s="9" t="n">
        <v>46343</v>
      </c>
      <c r="G35" s="10" t="n">
        <f aca="false">NETWORKDAYS(E35,F35,Calendario!$B$14:$B$16)</f>
        <v>4</v>
      </c>
      <c r="H35" s="10" t="s">
        <v>105</v>
      </c>
      <c r="I35" s="11" t="s">
        <v>115</v>
      </c>
      <c r="J35" s="10" t="s">
        <v>55</v>
      </c>
      <c r="K35" s="12" t="n">
        <v>0</v>
      </c>
    </row>
    <row r="36" customFormat="false" ht="15" hidden="false" customHeight="false" outlineLevel="0" collapsed="false">
      <c r="A36" s="5" t="s">
        <v>116</v>
      </c>
      <c r="B36" s="17" t="s">
        <v>110</v>
      </c>
      <c r="C36" s="7" t="s">
        <v>117</v>
      </c>
      <c r="D36" s="8" t="s">
        <v>59</v>
      </c>
      <c r="E36" s="9" t="n">
        <v>46339</v>
      </c>
      <c r="F36" s="9" t="n">
        <v>46344</v>
      </c>
      <c r="G36" s="10" t="n">
        <f aca="false">NETWORKDAYS(E36,F36,Calendario!$B$14:$B$16)</f>
        <v>3</v>
      </c>
      <c r="H36" s="10" t="s">
        <v>105</v>
      </c>
      <c r="I36" s="11" t="s">
        <v>118</v>
      </c>
      <c r="J36" s="10" t="s">
        <v>55</v>
      </c>
      <c r="K36" s="12" t="n">
        <v>0</v>
      </c>
    </row>
    <row r="37" customFormat="false" ht="15" hidden="false" customHeight="false" outlineLevel="0" collapsed="false">
      <c r="A37" s="5" t="s">
        <v>119</v>
      </c>
      <c r="B37" s="17" t="s">
        <v>110</v>
      </c>
      <c r="C37" s="7" t="s">
        <v>120</v>
      </c>
      <c r="D37" s="8" t="s">
        <v>59</v>
      </c>
      <c r="E37" s="9" t="n">
        <v>46343</v>
      </c>
      <c r="F37" s="9" t="n">
        <v>46345</v>
      </c>
      <c r="G37" s="10" t="n">
        <f aca="false">NETWORKDAYS(E37,F37,Calendario!$B$14:$B$16)</f>
        <v>3</v>
      </c>
      <c r="H37" s="10" t="s">
        <v>105</v>
      </c>
      <c r="I37" s="11" t="s">
        <v>121</v>
      </c>
      <c r="J37" s="10" t="s">
        <v>55</v>
      </c>
      <c r="K37" s="12" t="n">
        <v>0</v>
      </c>
    </row>
    <row r="38" customFormat="false" ht="23.85" hidden="false" customHeight="false" outlineLevel="0" collapsed="false">
      <c r="A38" s="5" t="s">
        <v>122</v>
      </c>
      <c r="B38" s="18" t="s">
        <v>123</v>
      </c>
      <c r="C38" s="7" t="s">
        <v>124</v>
      </c>
      <c r="D38" s="8" t="s">
        <v>80</v>
      </c>
      <c r="E38" s="9" t="n">
        <v>46262</v>
      </c>
      <c r="F38" s="9" t="n">
        <v>46345</v>
      </c>
      <c r="G38" s="10" t="n">
        <f aca="false">NETWORKDAYS(E38,F38,Calendario!$B$14:$B$16)</f>
        <v>57</v>
      </c>
      <c r="H38" s="10" t="s">
        <v>125</v>
      </c>
      <c r="I38" s="11" t="s">
        <v>126</v>
      </c>
      <c r="J38" s="10" t="s">
        <v>45</v>
      </c>
      <c r="K38" s="12" t="n">
        <v>0.3</v>
      </c>
    </row>
    <row r="39" customFormat="false" ht="15" hidden="false" customHeight="false" outlineLevel="0" collapsed="false">
      <c r="A39" s="5" t="s">
        <v>127</v>
      </c>
      <c r="B39" s="18" t="s">
        <v>128</v>
      </c>
      <c r="C39" s="7" t="s">
        <v>129</v>
      </c>
      <c r="D39" s="8" t="s">
        <v>99</v>
      </c>
      <c r="E39" s="9" t="n">
        <v>46262</v>
      </c>
      <c r="F39" s="9" t="n">
        <v>46345</v>
      </c>
      <c r="G39" s="10" t="n">
        <f aca="false">NETWORKDAYS(E39,F39,Calendario!$B$14:$B$16)</f>
        <v>57</v>
      </c>
      <c r="H39" s="10" t="s">
        <v>125</v>
      </c>
      <c r="I39" s="11" t="s">
        <v>130</v>
      </c>
      <c r="J39" s="10" t="s">
        <v>45</v>
      </c>
      <c r="K39" s="12" t="n">
        <v>0.3</v>
      </c>
    </row>
    <row r="40" customFormat="false" ht="15" hidden="false" customHeight="false" outlineLevel="0" collapsed="false">
      <c r="A40" s="5" t="s">
        <v>131</v>
      </c>
      <c r="B40" s="19" t="s">
        <v>132</v>
      </c>
      <c r="C40" s="7" t="s">
        <v>133</v>
      </c>
      <c r="D40" s="8" t="s">
        <v>17</v>
      </c>
      <c r="E40" s="9" t="n">
        <v>46311</v>
      </c>
      <c r="F40" s="9" t="n">
        <v>46314</v>
      </c>
      <c r="G40" s="10" t="n">
        <f aca="false">NETWORKDAYS(E40,F40,Calendario!$B$14:$B$16)</f>
        <v>2</v>
      </c>
      <c r="H40" s="10" t="s">
        <v>70</v>
      </c>
      <c r="I40" s="11" t="s">
        <v>134</v>
      </c>
      <c r="J40" s="10" t="s">
        <v>135</v>
      </c>
      <c r="K40" s="12" t="n">
        <v>0</v>
      </c>
    </row>
    <row r="41" customFormat="false" ht="15" hidden="false" customHeight="false" outlineLevel="0" collapsed="false">
      <c r="A41" s="5" t="s">
        <v>136</v>
      </c>
      <c r="B41" s="19" t="s">
        <v>132</v>
      </c>
      <c r="C41" s="7" t="s">
        <v>137</v>
      </c>
      <c r="D41" s="8" t="s">
        <v>17</v>
      </c>
      <c r="E41" s="9" t="n">
        <v>46338</v>
      </c>
      <c r="F41" s="9" t="n">
        <v>46343</v>
      </c>
      <c r="G41" s="10" t="n">
        <f aca="false">NETWORKDAYS(E41,F41,Calendario!$B$14:$B$16)</f>
        <v>3</v>
      </c>
      <c r="H41" s="10" t="s">
        <v>105</v>
      </c>
      <c r="I41" s="11" t="s">
        <v>134</v>
      </c>
      <c r="J41" s="10" t="s">
        <v>135</v>
      </c>
      <c r="K41" s="12" t="n">
        <v>0</v>
      </c>
    </row>
    <row r="42" customFormat="false" ht="15" hidden="false" customHeight="false" outlineLevel="0" collapsed="false">
      <c r="A42" s="20" t="n">
        <f aca="false">COUNTA(A6:A41)</f>
        <v>36</v>
      </c>
      <c r="B42" s="21"/>
      <c r="C42" s="20" t="s">
        <v>138</v>
      </c>
      <c r="D42" s="21"/>
      <c r="E42" s="21"/>
      <c r="F42" s="21"/>
      <c r="G42" s="20" t="n">
        <f aca="false">SUM(G6:G41)</f>
        <v>286</v>
      </c>
      <c r="H42" s="21"/>
      <c r="I42" s="21"/>
      <c r="J42" s="21"/>
      <c r="K42" s="22" t="n">
        <f aca="false">SUMPRODUCT(G6:G41,K6:K41)/SUM(G6:G41)</f>
        <v>0.295454545454545</v>
      </c>
    </row>
    <row r="44" customFormat="false" ht="15" hidden="false" customHeight="false" outlineLevel="0" collapsed="false">
      <c r="B44" s="3" t="s">
        <v>139</v>
      </c>
    </row>
    <row r="45" customFormat="false" ht="15" hidden="false" customHeight="false" outlineLevel="0" collapsed="false">
      <c r="B45" s="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7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30" hidden="false" customHeight="true" outlineLevel="0" collapsed="false">
      <c r="A4" s="4" t="s">
        <v>143</v>
      </c>
      <c r="B4" s="4" t="s">
        <v>144</v>
      </c>
      <c r="C4" s="4" t="s">
        <v>145</v>
      </c>
      <c r="D4" s="4" t="s">
        <v>146</v>
      </c>
      <c r="E4" s="4" t="s">
        <v>147</v>
      </c>
      <c r="F4" s="4" t="s">
        <v>148</v>
      </c>
      <c r="G4" s="4" t="s">
        <v>12</v>
      </c>
    </row>
    <row r="5" customFormat="false" ht="15" hidden="false" customHeight="false" outlineLevel="0" collapsed="false">
      <c r="A5" s="23" t="s">
        <v>149</v>
      </c>
      <c r="B5" s="23" t="s">
        <v>150</v>
      </c>
      <c r="C5" s="23" t="s">
        <v>151</v>
      </c>
      <c r="D5" s="23" t="s">
        <v>152</v>
      </c>
      <c r="E5" s="23" t="s">
        <v>17</v>
      </c>
      <c r="F5" s="24" t="s">
        <v>19</v>
      </c>
      <c r="G5" s="23" t="s">
        <v>20</v>
      </c>
    </row>
    <row r="6" customFormat="false" ht="15" hidden="false" customHeight="false" outlineLevel="0" collapsed="false">
      <c r="A6" s="23" t="s">
        <v>153</v>
      </c>
      <c r="B6" s="23" t="s">
        <v>154</v>
      </c>
      <c r="C6" s="23" t="s">
        <v>155</v>
      </c>
      <c r="D6" s="23" t="s">
        <v>152</v>
      </c>
      <c r="E6" s="23" t="s">
        <v>17</v>
      </c>
      <c r="F6" s="24" t="s">
        <v>156</v>
      </c>
      <c r="G6" s="23" t="s">
        <v>20</v>
      </c>
    </row>
    <row r="7" customFormat="false" ht="23.85" hidden="false" customHeight="false" outlineLevel="0" collapsed="false">
      <c r="A7" s="25" t="s">
        <v>157</v>
      </c>
      <c r="B7" s="25" t="s">
        <v>158</v>
      </c>
      <c r="C7" s="25" t="s">
        <v>159</v>
      </c>
      <c r="D7" s="25" t="s">
        <v>160</v>
      </c>
      <c r="E7" s="25" t="s">
        <v>80</v>
      </c>
      <c r="F7" s="26" t="s">
        <v>161</v>
      </c>
      <c r="G7" s="25" t="s">
        <v>45</v>
      </c>
    </row>
    <row r="8" customFormat="false" ht="23.85" hidden="false" customHeight="false" outlineLevel="0" collapsed="false">
      <c r="A8" s="23" t="s">
        <v>162</v>
      </c>
      <c r="B8" s="23" t="s">
        <v>154</v>
      </c>
      <c r="C8" s="23" t="s">
        <v>163</v>
      </c>
      <c r="D8" s="23" t="s">
        <v>160</v>
      </c>
      <c r="E8" s="23" t="s">
        <v>17</v>
      </c>
      <c r="F8" s="24" t="s">
        <v>164</v>
      </c>
      <c r="G8" s="23" t="s">
        <v>45</v>
      </c>
    </row>
    <row r="9" customFormat="false" ht="23.85" hidden="false" customHeight="false" outlineLevel="0" collapsed="false">
      <c r="A9" s="23" t="s">
        <v>165</v>
      </c>
      <c r="B9" s="23" t="s">
        <v>154</v>
      </c>
      <c r="C9" s="23" t="s">
        <v>166</v>
      </c>
      <c r="D9" s="23" t="s">
        <v>167</v>
      </c>
      <c r="E9" s="23" t="s">
        <v>59</v>
      </c>
      <c r="F9" s="24" t="s">
        <v>168</v>
      </c>
      <c r="G9" s="23" t="s">
        <v>55</v>
      </c>
    </row>
    <row r="10" customFormat="false" ht="23.85" hidden="false" customHeight="false" outlineLevel="0" collapsed="false">
      <c r="A10" s="25" t="s">
        <v>169</v>
      </c>
      <c r="B10" s="25" t="s">
        <v>170</v>
      </c>
      <c r="C10" s="25" t="s">
        <v>171</v>
      </c>
      <c r="D10" s="25" t="s">
        <v>172</v>
      </c>
      <c r="E10" s="25" t="s">
        <v>80</v>
      </c>
      <c r="F10" s="26" t="s">
        <v>173</v>
      </c>
      <c r="G10" s="25" t="s">
        <v>55</v>
      </c>
    </row>
    <row r="11" customFormat="false" ht="23.85" hidden="false" customHeight="false" outlineLevel="0" collapsed="false">
      <c r="A11" s="23" t="s">
        <v>174</v>
      </c>
      <c r="B11" s="23" t="s">
        <v>154</v>
      </c>
      <c r="C11" s="23" t="s">
        <v>175</v>
      </c>
      <c r="D11" s="23" t="s">
        <v>172</v>
      </c>
      <c r="E11" s="23" t="s">
        <v>80</v>
      </c>
      <c r="F11" s="24" t="s">
        <v>176</v>
      </c>
      <c r="G11" s="23" t="s">
        <v>55</v>
      </c>
    </row>
    <row r="12" customFormat="false" ht="15" hidden="false" customHeight="false" outlineLevel="0" collapsed="false">
      <c r="A12" s="23" t="s">
        <v>177</v>
      </c>
      <c r="B12" s="23" t="s">
        <v>154</v>
      </c>
      <c r="C12" s="23" t="s">
        <v>178</v>
      </c>
      <c r="D12" s="23" t="s">
        <v>179</v>
      </c>
      <c r="E12" s="23" t="s">
        <v>99</v>
      </c>
      <c r="F12" s="24" t="s">
        <v>180</v>
      </c>
      <c r="G12" s="23" t="s">
        <v>55</v>
      </c>
    </row>
    <row r="13" customFormat="false" ht="15" hidden="false" customHeight="false" outlineLevel="0" collapsed="false">
      <c r="A13" s="25" t="s">
        <v>181</v>
      </c>
      <c r="B13" s="25" t="s">
        <v>182</v>
      </c>
      <c r="C13" s="25" t="s">
        <v>183</v>
      </c>
      <c r="D13" s="25" t="s">
        <v>184</v>
      </c>
      <c r="E13" s="25" t="s">
        <v>80</v>
      </c>
      <c r="F13" s="26" t="s">
        <v>185</v>
      </c>
      <c r="G13" s="25" t="s">
        <v>55</v>
      </c>
    </row>
    <row r="14" customFormat="false" ht="23.85" hidden="false" customHeight="false" outlineLevel="0" collapsed="false">
      <c r="A14" s="27" t="s">
        <v>186</v>
      </c>
      <c r="B14" s="27" t="s">
        <v>187</v>
      </c>
      <c r="C14" s="27" t="s">
        <v>188</v>
      </c>
      <c r="D14" s="27" t="s">
        <v>184</v>
      </c>
      <c r="E14" s="27" t="s">
        <v>59</v>
      </c>
      <c r="F14" s="28" t="s">
        <v>189</v>
      </c>
      <c r="G14" s="2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14" min="3" style="0" width="7"/>
  </cols>
  <sheetData>
    <row r="1" customFormat="false" ht="17.35" hidden="false" customHeight="false" outlineLevel="0" collapsed="false">
      <c r="A1" s="1" t="s">
        <v>190</v>
      </c>
    </row>
    <row r="2" customFormat="false" ht="15" hidden="false" customHeight="false" outlineLevel="0" collapsed="false">
      <c r="A2" s="2" t="s">
        <v>191</v>
      </c>
    </row>
    <row r="4" customFormat="false" ht="15" hidden="false" customHeight="false" outlineLevel="0" collapsed="false">
      <c r="A4" s="29" t="s">
        <v>4</v>
      </c>
      <c r="B4" s="29" t="s">
        <v>6</v>
      </c>
      <c r="C4" s="29" t="s">
        <v>192</v>
      </c>
      <c r="D4" s="29" t="s">
        <v>193</v>
      </c>
      <c r="E4" s="29" t="s">
        <v>194</v>
      </c>
      <c r="F4" s="29" t="s">
        <v>195</v>
      </c>
      <c r="G4" s="29" t="s">
        <v>196</v>
      </c>
      <c r="H4" s="29" t="s">
        <v>197</v>
      </c>
      <c r="I4" s="29" t="s">
        <v>198</v>
      </c>
      <c r="J4" s="29" t="s">
        <v>199</v>
      </c>
      <c r="K4" s="29" t="s">
        <v>200</v>
      </c>
      <c r="L4" s="29" t="s">
        <v>201</v>
      </c>
      <c r="M4" s="29" t="s">
        <v>202</v>
      </c>
      <c r="N4" s="29" t="s">
        <v>203</v>
      </c>
    </row>
    <row r="5" customFormat="false" ht="15" hidden="false" customHeight="false" outlineLevel="0" collapsed="false">
      <c r="A5" s="30" t="s">
        <v>204</v>
      </c>
      <c r="B5" s="31"/>
      <c r="C5" s="32" t="s">
        <v>205</v>
      </c>
      <c r="D5" s="32" t="s">
        <v>206</v>
      </c>
      <c r="E5" s="32" t="s">
        <v>207</v>
      </c>
      <c r="F5" s="32" t="s">
        <v>208</v>
      </c>
      <c r="G5" s="32" t="s">
        <v>209</v>
      </c>
      <c r="H5" s="32" t="s">
        <v>210</v>
      </c>
      <c r="I5" s="32" t="s">
        <v>211</v>
      </c>
      <c r="J5" s="32" t="s">
        <v>212</v>
      </c>
      <c r="K5" s="32" t="s">
        <v>213</v>
      </c>
      <c r="L5" s="32" t="s">
        <v>214</v>
      </c>
      <c r="M5" s="32" t="s">
        <v>215</v>
      </c>
      <c r="N5" s="32" t="s">
        <v>216</v>
      </c>
    </row>
    <row r="6" customFormat="false" ht="15" hidden="false" customHeight="false" outlineLevel="0" collapsed="false">
      <c r="A6" s="23" t="s">
        <v>152</v>
      </c>
      <c r="B6" s="23" t="s">
        <v>17</v>
      </c>
      <c r="C6" s="33"/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customFormat="false" ht="15" hidden="false" customHeight="false" outlineLevel="0" collapsed="false">
      <c r="A7" s="23" t="s">
        <v>33</v>
      </c>
      <c r="B7" s="23" t="s">
        <v>17</v>
      </c>
      <c r="C7" s="34"/>
      <c r="D7" s="34"/>
      <c r="E7" s="34"/>
      <c r="F7" s="34"/>
      <c r="G7" s="31"/>
      <c r="H7" s="31"/>
      <c r="I7" s="31"/>
      <c r="J7" s="31"/>
      <c r="K7" s="31"/>
      <c r="L7" s="31"/>
      <c r="M7" s="31"/>
      <c r="N7" s="31"/>
    </row>
    <row r="8" customFormat="false" ht="15" hidden="false" customHeight="false" outlineLevel="0" collapsed="false">
      <c r="A8" s="23" t="s">
        <v>57</v>
      </c>
      <c r="B8" s="23" t="s">
        <v>59</v>
      </c>
      <c r="C8" s="31"/>
      <c r="D8" s="31"/>
      <c r="E8" s="31"/>
      <c r="F8" s="31"/>
      <c r="G8" s="35"/>
      <c r="H8" s="35"/>
      <c r="I8" s="35"/>
      <c r="J8" s="31"/>
      <c r="K8" s="31"/>
      <c r="L8" s="31"/>
      <c r="M8" s="31"/>
      <c r="N8" s="31"/>
    </row>
    <row r="9" customFormat="false" ht="15" hidden="false" customHeight="false" outlineLevel="0" collapsed="false">
      <c r="A9" s="23" t="s">
        <v>78</v>
      </c>
      <c r="B9" s="23" t="s">
        <v>80</v>
      </c>
      <c r="C9" s="31"/>
      <c r="D9" s="31"/>
      <c r="E9" s="31"/>
      <c r="F9" s="31"/>
      <c r="G9" s="31"/>
      <c r="H9" s="31"/>
      <c r="I9" s="36"/>
      <c r="J9" s="36"/>
      <c r="K9" s="36"/>
      <c r="L9" s="36"/>
      <c r="M9" s="31"/>
      <c r="N9" s="31"/>
    </row>
    <row r="10" customFormat="false" ht="15" hidden="false" customHeight="false" outlineLevel="0" collapsed="false">
      <c r="A10" s="23" t="s">
        <v>97</v>
      </c>
      <c r="B10" s="23" t="s">
        <v>99</v>
      </c>
      <c r="C10" s="31"/>
      <c r="D10" s="31"/>
      <c r="E10" s="31"/>
      <c r="F10" s="31"/>
      <c r="G10" s="31"/>
      <c r="H10" s="31"/>
      <c r="I10" s="31"/>
      <c r="J10" s="31"/>
      <c r="K10" s="37"/>
      <c r="L10" s="37"/>
      <c r="M10" s="37"/>
      <c r="N10" s="31"/>
    </row>
    <row r="11" customFormat="false" ht="15" hidden="false" customHeight="false" outlineLevel="0" collapsed="false">
      <c r="A11" s="23" t="s">
        <v>110</v>
      </c>
      <c r="B11" s="23" t="s">
        <v>59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8"/>
      <c r="N11" s="38"/>
    </row>
    <row r="12" customFormat="false" ht="15" hidden="false" customHeight="false" outlineLevel="0" collapsed="false">
      <c r="A12" s="23" t="s">
        <v>217</v>
      </c>
      <c r="B12" s="23" t="s">
        <v>80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customFormat="false" ht="15" hidden="false" customHeight="false" outlineLevel="0" collapsed="false">
      <c r="A13" s="23" t="s">
        <v>218</v>
      </c>
      <c r="B13" s="23" t="s">
        <v>99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customFormat="false" ht="15" hidden="false" customHeight="false" outlineLevel="0" collapsed="false">
      <c r="A14" s="23" t="s">
        <v>219</v>
      </c>
      <c r="B14" s="23" t="s">
        <v>17</v>
      </c>
      <c r="C14" s="31"/>
      <c r="D14" s="31"/>
      <c r="E14" s="31"/>
      <c r="F14" s="31"/>
      <c r="G14" s="31"/>
      <c r="H14" s="31"/>
      <c r="I14" s="31"/>
      <c r="J14" s="40"/>
      <c r="K14" s="31"/>
      <c r="L14" s="31"/>
      <c r="M14" s="31"/>
      <c r="N14" s="31"/>
    </row>
    <row r="15" customFormat="false" ht="15" hidden="false" customHeight="false" outlineLevel="0" collapsed="false">
      <c r="A15" s="23" t="s">
        <v>220</v>
      </c>
      <c r="B15" s="23" t="s">
        <v>17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40"/>
      <c r="N15" s="40"/>
    </row>
    <row r="17" customFormat="false" ht="15" hidden="false" customHeight="false" outlineLevel="0" collapsed="false">
      <c r="A17" s="41" t="s">
        <v>221</v>
      </c>
    </row>
    <row r="18" customFormat="false" ht="15" hidden="false" customHeight="false" outlineLevel="0" collapsed="false">
      <c r="A18" s="42" t="s">
        <v>222</v>
      </c>
      <c r="C18" s="31"/>
      <c r="D18" s="31"/>
      <c r="E18" s="31"/>
      <c r="F18" s="43" t="s">
        <v>223</v>
      </c>
      <c r="G18" s="31"/>
      <c r="H18" s="31"/>
      <c r="I18" s="31"/>
      <c r="J18" s="43" t="s">
        <v>223</v>
      </c>
      <c r="K18" s="31"/>
      <c r="L18" s="31"/>
      <c r="M18" s="31"/>
      <c r="N18" s="43" t="s">
        <v>223</v>
      </c>
    </row>
    <row r="20" customFormat="false" ht="15" hidden="false" customHeight="false" outlineLevel="0" collapsed="false">
      <c r="A20" s="3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4" t="s">
        <v>227</v>
      </c>
      <c r="B4" s="4" t="s">
        <v>10</v>
      </c>
      <c r="C4" s="4" t="s">
        <v>228</v>
      </c>
      <c r="D4" s="4" t="s">
        <v>229</v>
      </c>
      <c r="E4" s="4" t="s">
        <v>230</v>
      </c>
      <c r="F4" s="4" t="s">
        <v>231</v>
      </c>
    </row>
    <row r="5" customFormat="false" ht="15" hidden="false" customHeight="false" outlineLevel="0" collapsed="false">
      <c r="A5" s="5" t="s">
        <v>232</v>
      </c>
      <c r="B5" s="10" t="s">
        <v>18</v>
      </c>
      <c r="C5" s="44" t="n">
        <v>46262</v>
      </c>
      <c r="D5" s="44" t="n">
        <v>46275</v>
      </c>
      <c r="E5" s="10" t="n">
        <f aca="false">D5-C5+1</f>
        <v>14</v>
      </c>
      <c r="F5" s="10" t="str">
        <f aca="false">IF(AND(WEEKDAY(C5)=6,WEEKDAY(D5)=5),"OK","REVISAR")</f>
        <v>OK</v>
      </c>
    </row>
    <row r="6" customFormat="false" ht="15" hidden="false" customHeight="false" outlineLevel="0" collapsed="false">
      <c r="A6" s="5" t="s">
        <v>233</v>
      </c>
      <c r="B6" s="10" t="s">
        <v>38</v>
      </c>
      <c r="C6" s="44" t="n">
        <v>46276</v>
      </c>
      <c r="D6" s="44" t="n">
        <v>46289</v>
      </c>
      <c r="E6" s="10" t="n">
        <f aca="false">D6-C6+1</f>
        <v>14</v>
      </c>
      <c r="F6" s="10" t="str">
        <f aca="false">IF(AND(WEEKDAY(C6)=6,WEEKDAY(D6)=5),"OK","REVISAR")</f>
        <v>OK</v>
      </c>
    </row>
    <row r="7" customFormat="false" ht="15" hidden="false" customHeight="false" outlineLevel="0" collapsed="false">
      <c r="A7" s="5" t="s">
        <v>234</v>
      </c>
      <c r="B7" s="10" t="s">
        <v>60</v>
      </c>
      <c r="C7" s="44" t="n">
        <v>46290</v>
      </c>
      <c r="D7" s="44" t="n">
        <v>46303</v>
      </c>
      <c r="E7" s="10" t="n">
        <f aca="false">D7-C7+1</f>
        <v>14</v>
      </c>
      <c r="F7" s="10" t="str">
        <f aca="false">IF(AND(WEEKDAY(C7)=6,WEEKDAY(D7)=5),"OK","REVISAR")</f>
        <v>OK</v>
      </c>
    </row>
    <row r="8" customFormat="false" ht="15" hidden="false" customHeight="false" outlineLevel="0" collapsed="false">
      <c r="A8" s="5" t="s">
        <v>235</v>
      </c>
      <c r="B8" s="10" t="s">
        <v>70</v>
      </c>
      <c r="C8" s="44" t="n">
        <v>46304</v>
      </c>
      <c r="D8" s="44" t="n">
        <v>46317</v>
      </c>
      <c r="E8" s="10" t="n">
        <f aca="false">D8-C8+1</f>
        <v>14</v>
      </c>
      <c r="F8" s="10" t="str">
        <f aca="false">IF(AND(WEEKDAY(C8)=6,WEEKDAY(D8)=5),"OK","REVISAR")</f>
        <v>OK</v>
      </c>
    </row>
    <row r="9" customFormat="false" ht="15" hidden="false" customHeight="false" outlineLevel="0" collapsed="false">
      <c r="A9" s="5" t="s">
        <v>236</v>
      </c>
      <c r="B9" s="10" t="s">
        <v>87</v>
      </c>
      <c r="C9" s="44" t="n">
        <v>46318</v>
      </c>
      <c r="D9" s="44" t="n">
        <v>46331</v>
      </c>
      <c r="E9" s="10" t="n">
        <f aca="false">D9-C9+1</f>
        <v>14</v>
      </c>
      <c r="F9" s="10" t="str">
        <f aca="false">IF(AND(WEEKDAY(C9)=6,WEEKDAY(D9)=5),"OK","REVISAR")</f>
        <v>OK</v>
      </c>
    </row>
    <row r="10" customFormat="false" ht="15" hidden="false" customHeight="false" outlineLevel="0" collapsed="false">
      <c r="A10" s="5" t="s">
        <v>237</v>
      </c>
      <c r="B10" s="10" t="s">
        <v>105</v>
      </c>
      <c r="C10" s="44" t="n">
        <v>46332</v>
      </c>
      <c r="D10" s="44" t="n">
        <v>46345</v>
      </c>
      <c r="E10" s="10" t="n">
        <f aca="false">D10-C10+1</f>
        <v>14</v>
      </c>
      <c r="F10" s="10" t="str">
        <f aca="false">IF(AND(WEEKDAY(C10)=6,WEEKDAY(D10)=5),"OK","REVISAR")</f>
        <v>OK</v>
      </c>
    </row>
    <row r="11" customFormat="false" ht="15" hidden="false" customHeight="false" outlineLevel="0" collapsed="false">
      <c r="A11" s="20" t="s">
        <v>238</v>
      </c>
      <c r="B11" s="21"/>
      <c r="C11" s="21"/>
      <c r="D11" s="21"/>
      <c r="E11" s="20" t="n">
        <f aca="false">(MAX(D5:D10)-MIN(C5:C10)+1)/7</f>
        <v>12</v>
      </c>
      <c r="F11" s="20" t="str">
        <f aca="false">IF(E11=12,"OK","REVISAR")</f>
        <v>OK</v>
      </c>
    </row>
    <row r="12" customFormat="false" ht="15" hidden="false" customHeight="false" outlineLevel="0" collapsed="false">
      <c r="A12" s="41" t="s">
        <v>239</v>
      </c>
    </row>
    <row r="13" customFormat="false" ht="15" hidden="false" customHeight="false" outlineLevel="0" collapsed="false">
      <c r="A13" s="45" t="s">
        <v>240</v>
      </c>
      <c r="B13" s="45" t="s">
        <v>241</v>
      </c>
    </row>
    <row r="14" customFormat="false" ht="15" hidden="false" customHeight="false" outlineLevel="0" collapsed="false">
      <c r="A14" s="46" t="s">
        <v>242</v>
      </c>
      <c r="B14" s="47" t="n">
        <v>46307</v>
      </c>
    </row>
    <row r="15" customFormat="false" ht="15" hidden="false" customHeight="false" outlineLevel="0" collapsed="false">
      <c r="A15" s="46" t="s">
        <v>243</v>
      </c>
      <c r="B15" s="47" t="n">
        <v>46328</v>
      </c>
    </row>
    <row r="16" customFormat="false" ht="15" hidden="false" customHeight="false" outlineLevel="0" collapsed="false">
      <c r="A16" s="46" t="s">
        <v>244</v>
      </c>
      <c r="B16" s="47" t="n">
        <v>46342</v>
      </c>
    </row>
    <row r="18" customFormat="false" ht="15" hidden="false" customHeight="false" outlineLevel="0" collapsed="false">
      <c r="A18" s="3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2026-10-16T00:18:09Z</dcterms:created>
  <dc:creator>openpyxl</dc:creator>
  <dc:description/>
  <dc:language>en-US</dc:language>
  <cp:lastModifiedBy/>
  <dcterms:modified xsi:type="dcterms:W3CDTF">2026-10-16T00:18:09Z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