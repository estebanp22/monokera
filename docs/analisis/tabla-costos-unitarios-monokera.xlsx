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stos Unitarios" sheetId="1" state="visible" r:id="rId3"/>
    <sheet name="Distribución Presupuestal" sheetId="2" state="visible" r:id="rId4"/>
    <sheet name="Seguimiento Quincenal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<sst xmlns="http://schemas.openxmlformats.org/spreadsheetml/2006/main" count="189" uniqueCount="139">
  <si>
    <t xml:space="preserve">TABLA DE COSTOS UNITARIOS - PROYECTO MONOKERA APP</t>
  </si>
  <si>
    <t xml:space="preserve">Caso 10 - Monokera | Prototipo Navegable de Alta Fidelidad | Presupuesto asignado: $265.000.000 COP | Desviación máxima permitida: +/-10%</t>
  </si>
  <si>
    <t xml:space="preserve">Valores en pesos colombianos (COP). Tarifas definidas por el equipo en la fase de Planeación tomando como referencia el mercado colombiano de servicios digitales 2026.</t>
  </si>
  <si>
    <t xml:space="preserve">Item</t>
  </si>
  <si>
    <t xml:space="preserve">Categoría Presupuestal</t>
  </si>
  <si>
    <t xml:space="preserve">Concepto / Recurso</t>
  </si>
  <si>
    <t xml:space="preserve">Unidad de Medida</t>
  </si>
  <si>
    <t xml:space="preserve">Cantidad</t>
  </si>
  <si>
    <t xml:space="preserve">Costo Unitario (COP)</t>
  </si>
  <si>
    <t xml:space="preserve">Costo Total (COP)</t>
  </si>
  <si>
    <t xml:space="preserve">% del Presupuesto</t>
  </si>
  <si>
    <t xml:space="preserve">Justificación</t>
  </si>
  <si>
    <t xml:space="preserve">1. Horas Hombre</t>
  </si>
  <si>
    <t xml:space="preserve">Líder de Análisis / Analista Senior</t>
  </si>
  <si>
    <t xml:space="preserve">Hora</t>
  </si>
  <si>
    <t xml:space="preserve">Levantamiento de requisitos, historias de usuario y backlog priorizado del MVP.</t>
  </si>
  <si>
    <t xml:space="preserve">Analista de Requisitos</t>
  </si>
  <si>
    <t xml:space="preserve">Elicitación con las áreas legal, actuarial y comercial; trazabilidad de requisitos.</t>
  </si>
  <si>
    <t xml:space="preserve">Arquitecto de Información</t>
  </si>
  <si>
    <t xml:space="preserve">Estructura de navegación y jerarquia de contenidos de póliza.</t>
  </si>
  <si>
    <t xml:space="preserve">Diseñador de Interacción (prototipado navegable)</t>
  </si>
  <si>
    <t xml:space="preserve">Construcción de los flujos navegables de alta fidelidad.</t>
  </si>
  <si>
    <t xml:space="preserve">Especialista en Prototipado / GUI</t>
  </si>
  <si>
    <t xml:space="preserve">Ensamble de componentes, estados y microinteracciones del prototipo.</t>
  </si>
  <si>
    <t xml:space="preserve">Analista de Contenidos</t>
  </si>
  <si>
    <t xml:space="preserve">Redacción de los mensajes educativos sobre protección y uso responsable del seguro.</t>
  </si>
  <si>
    <t xml:space="preserve">Especialista en Microcopy Regulado</t>
  </si>
  <si>
    <t xml:space="preserve">Redacción de textos contractuales aprobables por Legal bajo normativa SFC.</t>
  </si>
  <si>
    <t xml:space="preserve">2. Diseño UX/UI</t>
  </si>
  <si>
    <t xml:space="preserve">Investigación UX (entrevistas y benchmark)</t>
  </si>
  <si>
    <t xml:space="preserve">12 entrevistas a asegurados y análisis competitivo de aplicaciones de seguros.</t>
  </si>
  <si>
    <t xml:space="preserve">Diseño visual y Design System</t>
  </si>
  <si>
    <t xml:space="preserve">Sistema de componentes reutilizable alineado a la marca Monokera.</t>
  </si>
  <si>
    <t xml:space="preserve">Diseño de pantallas de alta fidelidad</t>
  </si>
  <si>
    <t xml:space="preserve">Aproximadamente 45 pantallas del MVP con sus estados y variantes.</t>
  </si>
  <si>
    <t xml:space="preserve">Diseño del simulador de planes de cobertura</t>
  </si>
  <si>
    <t xml:space="preserve">Componente crítico: simulación de cambio y ampliación de cobertura sin alterar tarifas reales.</t>
  </si>
  <si>
    <t xml:space="preserve">Licencia de herramienta de diseño colaborativo</t>
  </si>
  <si>
    <t xml:space="preserve">Usuario-mes</t>
  </si>
  <si>
    <t xml:space="preserve">4 usuarios durante los 3 meses de proyecto.</t>
  </si>
  <si>
    <t xml:space="preserve">Banco de iconografía e ilustracion licenciada</t>
  </si>
  <si>
    <t xml:space="preserve">Paquete</t>
  </si>
  <si>
    <t xml:space="preserve">Recursos gráficos con licencia comercial para el prototipo.</t>
  </si>
  <si>
    <t xml:space="preserve">Consultoría de accesibilidad (WCAG 2.1 AA)</t>
  </si>
  <si>
    <t xml:space="preserve">Exigencia de protección al consumidor financiero: información legible y comprensible.</t>
  </si>
  <si>
    <t xml:space="preserve">3. Validación de Usabilidad</t>
  </si>
  <si>
    <t xml:space="preserve">Reclutamiento de participantes</t>
  </si>
  <si>
    <t xml:space="preserve">Participante</t>
  </si>
  <si>
    <t xml:space="preserve">Asegurados reales segmentados por tipo de póliza y antiguedad.</t>
  </si>
  <si>
    <t xml:space="preserve">Incentivos a participantes</t>
  </si>
  <si>
    <t xml:space="preserve">Compensacion por sesión de prueba de 60 minutos.</t>
  </si>
  <si>
    <t xml:space="preserve">Especialista en usabilidad (moderación y análisis)</t>
  </si>
  <si>
    <t xml:space="preserve">Diseño del plan de pruebas, moderación de sesiones y reporte de hallazgos.</t>
  </si>
  <si>
    <t xml:space="preserve">Plataforma de pruebas remotas no moderadas</t>
  </si>
  <si>
    <t xml:space="preserve">Mes</t>
  </si>
  <si>
    <t xml:space="preserve">Métricas de tasa de exito por tarea y tiempo de comprensión.</t>
  </si>
  <si>
    <t xml:space="preserve">Sala de pruebas y equipos de grabacion</t>
  </si>
  <si>
    <t xml:space="preserve">Sesión</t>
  </si>
  <si>
    <t xml:space="preserve">Sesiones moderadas presenciales con registro audiovisual.</t>
  </si>
  <si>
    <t xml:space="preserve">4. Gestión del Proyecto</t>
  </si>
  <si>
    <t xml:space="preserve">Gerente de Proyecto</t>
  </si>
  <si>
    <t xml:space="preserve">Planeación, seguimiento quincenal, control de indicadores y gestión de riesgos.</t>
  </si>
  <si>
    <t xml:space="preserve">Herramientas de gestión y bitácora</t>
  </si>
  <si>
    <t xml:space="preserve">Tablero de backlog, sprints y bitácora del equipo.</t>
  </si>
  <si>
    <t xml:space="preserve">Comites de seguimiento con stakeholders</t>
  </si>
  <si>
    <t xml:space="preserve">Reunión</t>
  </si>
  <si>
    <t xml:space="preserve">Comites con Legal, Actuaría, Marketing y Producto durante las 12 semanas.</t>
  </si>
  <si>
    <t xml:space="preserve">5. Documentación</t>
  </si>
  <si>
    <t xml:space="preserve">Redactor técnico</t>
  </si>
  <si>
    <t xml:space="preserve">Documento completo del proyecto, bitácora y reportes quincenales de seguimiento.</t>
  </si>
  <si>
    <t xml:space="preserve">Diagramacion y diseño editorial</t>
  </si>
  <si>
    <t xml:space="preserve">Presentación y estilos de los entregables documentales.</t>
  </si>
  <si>
    <t xml:space="preserve">Repositorio documental y control de versiones</t>
  </si>
  <si>
    <t xml:space="preserve">Almacenamiento, versionado y trazabilidad de entregables.</t>
  </si>
  <si>
    <t xml:space="preserve">Guía basica de usuario</t>
  </si>
  <si>
    <t xml:space="preserve">Entregable</t>
  </si>
  <si>
    <t xml:space="preserve">Manual del asegurado requerido en la fase de Implantación.</t>
  </si>
  <si>
    <t xml:space="preserve">6. Contingencias Actuariales y Regulatorias</t>
  </si>
  <si>
    <t xml:space="preserve">Consultor actuarial externo</t>
  </si>
  <si>
    <t xml:space="preserve">Validación de que el prototipo no altera el modelo actuarial ni las tarifas de primas reales.</t>
  </si>
  <si>
    <t xml:space="preserve">Asesoria legal y cumplimiento SFC</t>
  </si>
  <si>
    <t xml:space="preserve">Revisión de textos contractuales frente a las circulares vigentes de la SFC.</t>
  </si>
  <si>
    <t xml:space="preserve">Reserva de contingencia regulatoria</t>
  </si>
  <si>
    <t xml:space="preserve">Global</t>
  </si>
  <si>
    <t xml:space="preserve">Colchón para cambios normativos y re-trabajo derivado de nuevas circulares de la SFC.</t>
  </si>
  <si>
    <t xml:space="preserve">TOTAL PRESUPUESTO PLANIFICADO</t>
  </si>
  <si>
    <t xml:space="preserve">Presupuesto asignado por el cliente:</t>
  </si>
  <si>
    <t xml:space="preserve">Diferencia (debe ser $0):</t>
  </si>
  <si>
    <t xml:space="preserve">Convención: celdas en AZUL = datos de entrada (cantidades y tarifas). Celdas en NEGRO = calculadas por fórmula.</t>
  </si>
  <si>
    <t xml:space="preserve">DISTRIBUCIÓN DEL PRESUPUESTO POR CATEGORÍA</t>
  </si>
  <si>
    <t xml:space="preserve">Categorías obligatorias definidas en el numeral 3.6 del documento del caso.</t>
  </si>
  <si>
    <t xml:space="preserve">Costo Planificado (COP)</t>
  </si>
  <si>
    <t xml:space="preserve">% del Total</t>
  </si>
  <si>
    <t xml:space="preserve">Criterio de Asignación</t>
  </si>
  <si>
    <t xml:space="preserve">Mayor peso del presupuesto: el producto es un prototipo navegable, por lo que el esfuerzo humano de análisis y construcción concentra el valor entregado.</t>
  </si>
  <si>
    <t xml:space="preserve">El objeto del caso es traducir información actuarial y contractual compleja en interfaces comprensibles; el diseño es el nucleo de la solucion.</t>
  </si>
  <si>
    <t xml:space="preserve">El cliente exige reducción del abandono de pólizas; sin evidencia de comprensión del usuario no se puede sustentar el impacto.</t>
  </si>
  <si>
    <t xml:space="preserve">Seguimiento quincenal obligatorio, control de dos indicadores y gestión de cuatro grupos de stakeholders con intereses en tensión.</t>
  </si>
  <si>
    <t xml:space="preserve">Entorno regulado: la trazabilidad documental es exigida por Legal y es criterio explicito de evaluación del proyecto.</t>
  </si>
  <si>
    <t xml:space="preserve">Riesgo alto de cambios en circulares de la SFC durante la ejecución; el caso declara nivel de incertidumbre Medio-Alto.</t>
  </si>
  <si>
    <t xml:space="preserve">TOTAL</t>
  </si>
  <si>
    <t xml:space="preserve">Validación contra el presupuesto asignado ($265.000.000):</t>
  </si>
  <si>
    <t xml:space="preserve">SEGUIMIENTO QUINCENAL DEL GASTO - INDICADOR 2 (EFICIENCIA)</t>
  </si>
  <si>
    <t xml:space="preserve">Desviación Presupuestal: D = ((CR - CP) / CP) * 100 | Meta máxima permitida del caso: +/-10%</t>
  </si>
  <si>
    <t xml:space="preserve">Quincena</t>
  </si>
  <si>
    <t xml:space="preserve">Periodo</t>
  </si>
  <si>
    <t xml:space="preserve">Costo Planificado (CP)</t>
  </si>
  <si>
    <t xml:space="preserve">Costo Real (CR)</t>
  </si>
  <si>
    <t xml:space="preserve">CP Acumulado</t>
  </si>
  <si>
    <t xml:space="preserve">CR Acumulado</t>
  </si>
  <si>
    <t xml:space="preserve">Desviación Acum. (D%)</t>
  </si>
  <si>
    <t xml:space="preserve">Estado vs. meta</t>
  </si>
  <si>
    <t xml:space="preserve">Observacion</t>
  </si>
  <si>
    <t xml:space="preserve">Q1</t>
  </si>
  <si>
    <t xml:space="preserve">28 ago - 10 sep 2026</t>
  </si>
  <si>
    <t xml:space="preserve">Planeación y arranque de Análisis. Sobrecosto menor por demora en la contratación del consultor actuarial.</t>
  </si>
  <si>
    <t xml:space="preserve">Q2</t>
  </si>
  <si>
    <t xml:space="preserve">11 sep - 24 sep 2026</t>
  </si>
  <si>
    <t xml:space="preserve">Cierre de Análisis. Sobrecosto en asesoria legal: Legal exigió doble revisión de los textos de exclusiones.</t>
  </si>
  <si>
    <t xml:space="preserve">Q3</t>
  </si>
  <si>
    <t xml:space="preserve">25 sep - 08 oct 2026</t>
  </si>
  <si>
    <t xml:space="preserve">Proyectado - fase de Diseño.</t>
  </si>
  <si>
    <t xml:space="preserve">Q4</t>
  </si>
  <si>
    <t xml:space="preserve">09 oct - 22 oct 2026</t>
  </si>
  <si>
    <t xml:space="preserve">Proyectado - Diseño e inicio de Implementación del prototipo.</t>
  </si>
  <si>
    <t xml:space="preserve">Q5</t>
  </si>
  <si>
    <t xml:space="preserve">23 oct - 05 nov 2026</t>
  </si>
  <si>
    <t xml:space="preserve">Proyectado - Implementación y arranque de Pruebas.</t>
  </si>
  <si>
    <t xml:space="preserve">Q6</t>
  </si>
  <si>
    <t xml:space="preserve">06 nov - 19 nov 2026</t>
  </si>
  <si>
    <t xml:space="preserve">Proyectado - Pruebas, Implantación y cierre del proyecto.</t>
  </si>
  <si>
    <t xml:space="preserve">TOTAL PROYECTO</t>
  </si>
  <si>
    <t xml:space="preserve">Validación: el CP total debe igualar la Tabla de Costos Unitarios</t>
  </si>
  <si>
    <t xml:space="preserve">CORTE SEGUIMIENTO 1 (21 al 26 de septiembre de 2026)</t>
  </si>
  <si>
    <t xml:space="preserve">Costo Planificado acumulado (CP):</t>
  </si>
  <si>
    <t xml:space="preserve">Costo Real acumulado (CR):</t>
  </si>
  <si>
    <t xml:space="preserve">Desviación Presupuestal (D%):</t>
  </si>
  <si>
    <t xml:space="preserve">Estado frente a la meta (+/-10%):</t>
  </si>
  <si>
    <t xml:space="preserve">Nota: las celdas AMARILLAS de la columna CR se diligencian al cierre de cada quincena. Celdas AZULES = datos de entrada.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</si>
</sst>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\$#,##0"/>
    <numFmt numFmtId="167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9"/>
      <name val="Arial"/>
      <family val="0"/>
      <charset val="1"/>
    </font>
    <font>
      <i val="true"/>
      <sz val="10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4E7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E2EFDA"/>
        <bgColor rgb="FFFFF2CC"/>
      </patternFill>
    </fill>
    <fill>
      <patternFill patternType="solid">
        <fgColor rgb="FFFFF2CC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11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44"/>
    <col collapsed="false" customWidth="true" hidden="false" outlineLevel="0" max="4" min="4" style="0" width="15"/>
    <col collapsed="false" customWidth="true" hidden="false" outlineLevel="0" max="5" min="5" style="0" width="10"/>
    <col collapsed="false" customWidth="true" hidden="false" outlineLevel="0" max="6" min="6" style="0" width="17"/>
    <col collapsed="false" customWidth="true" hidden="false" outlineLevel="0" max="7" min="7" style="0" width="18"/>
    <col collapsed="false" customWidth="true" hidden="false" outlineLevel="0" max="8" min="8" style="0" width="13"/>
    <col collapsed="false" customWidth="true" hidden="false" outlineLevel="0" max="9" min="9" style="0" width="6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31.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</row>
    <row r="6" customFormat="false" ht="15" hidden="false" customHeight="false" outlineLevel="0" collapsed="false">
      <c r="A6" s="5" t="n">
        <v>1</v>
      </c>
      <c r="B6" s="5" t="s">
        <v>12</v>
      </c>
      <c r="C6" s="6" t="s">
        <v>13</v>
      </c>
      <c r="D6" s="5" t="s">
        <v>14</v>
      </c>
      <c r="E6" s="7" t="n">
        <v>240</v>
      </c>
      <c r="F6" s="8" t="n">
        <v>85000</v>
      </c>
      <c r="G6" s="9" t="n">
        <f aca="false">E6*F6</f>
        <v>20400000</v>
      </c>
      <c r="H6" s="10" t="n">
        <f aca="false">G6/$G$35</f>
        <v>0.0769811320754717</v>
      </c>
      <c r="I6" s="11" t="s">
        <v>15</v>
      </c>
    </row>
    <row r="7" customFormat="false" ht="15" hidden="false" customHeight="false" outlineLevel="0" collapsed="false">
      <c r="A7" s="5" t="n">
        <v>2</v>
      </c>
      <c r="B7" s="5" t="s">
        <v>12</v>
      </c>
      <c r="C7" s="6" t="s">
        <v>16</v>
      </c>
      <c r="D7" s="5" t="s">
        <v>14</v>
      </c>
      <c r="E7" s="7" t="n">
        <v>200</v>
      </c>
      <c r="F7" s="8" t="n">
        <v>60000</v>
      </c>
      <c r="G7" s="9" t="n">
        <f aca="false">E7*F7</f>
        <v>12000000</v>
      </c>
      <c r="H7" s="10" t="n">
        <f aca="false">G7/$G$35</f>
        <v>0.0452830188679245</v>
      </c>
      <c r="I7" s="11" t="s">
        <v>17</v>
      </c>
    </row>
    <row r="8" customFormat="false" ht="15" hidden="false" customHeight="false" outlineLevel="0" collapsed="false">
      <c r="A8" s="5" t="n">
        <v>3</v>
      </c>
      <c r="B8" s="5" t="s">
        <v>12</v>
      </c>
      <c r="C8" s="6" t="s">
        <v>18</v>
      </c>
      <c r="D8" s="5" t="s">
        <v>14</v>
      </c>
      <c r="E8" s="7" t="n">
        <v>160</v>
      </c>
      <c r="F8" s="8" t="n">
        <v>72000</v>
      </c>
      <c r="G8" s="9" t="n">
        <f aca="false">E8*F8</f>
        <v>11520000</v>
      </c>
      <c r="H8" s="10" t="n">
        <f aca="false">G8/$G$35</f>
        <v>0.0434716981132076</v>
      </c>
      <c r="I8" s="11" t="s">
        <v>19</v>
      </c>
    </row>
    <row r="9" customFormat="false" ht="15" hidden="false" customHeight="false" outlineLevel="0" collapsed="false">
      <c r="A9" s="5" t="n">
        <v>4</v>
      </c>
      <c r="B9" s="5" t="s">
        <v>12</v>
      </c>
      <c r="C9" s="6" t="s">
        <v>20</v>
      </c>
      <c r="D9" s="5" t="s">
        <v>14</v>
      </c>
      <c r="E9" s="7" t="n">
        <v>320</v>
      </c>
      <c r="F9" s="8" t="n">
        <v>75000</v>
      </c>
      <c r="G9" s="9" t="n">
        <f aca="false">E9*F9</f>
        <v>24000000</v>
      </c>
      <c r="H9" s="10" t="n">
        <f aca="false">G9/$G$35</f>
        <v>0.0905660377358491</v>
      </c>
      <c r="I9" s="11" t="s">
        <v>21</v>
      </c>
    </row>
    <row r="10" customFormat="false" ht="15" hidden="false" customHeight="false" outlineLevel="0" collapsed="false">
      <c r="A10" s="5" t="n">
        <v>5</v>
      </c>
      <c r="B10" s="5" t="s">
        <v>12</v>
      </c>
      <c r="C10" s="6" t="s">
        <v>22</v>
      </c>
      <c r="D10" s="5" t="s">
        <v>14</v>
      </c>
      <c r="E10" s="7" t="n">
        <v>300</v>
      </c>
      <c r="F10" s="8" t="n">
        <v>65000</v>
      </c>
      <c r="G10" s="9" t="n">
        <f aca="false">E10*F10</f>
        <v>19500000</v>
      </c>
      <c r="H10" s="10" t="n">
        <f aca="false">G10/$G$35</f>
        <v>0.0735849056603774</v>
      </c>
      <c r="I10" s="11" t="s">
        <v>23</v>
      </c>
    </row>
    <row r="11" customFormat="false" ht="22.35" hidden="false" customHeight="false" outlineLevel="0" collapsed="false">
      <c r="A11" s="5" t="n">
        <v>6</v>
      </c>
      <c r="B11" s="5" t="s">
        <v>12</v>
      </c>
      <c r="C11" s="6" t="s">
        <v>24</v>
      </c>
      <c r="D11" s="5" t="s">
        <v>14</v>
      </c>
      <c r="E11" s="7" t="n">
        <v>150</v>
      </c>
      <c r="F11" s="8" t="n">
        <v>50000</v>
      </c>
      <c r="G11" s="9" t="n">
        <f aca="false">E11*F11</f>
        <v>7500000</v>
      </c>
      <c r="H11" s="10" t="n">
        <f aca="false">G11/$G$35</f>
        <v>0.0283018867924528</v>
      </c>
      <c r="I11" s="11" t="s">
        <v>25</v>
      </c>
    </row>
    <row r="12" customFormat="false" ht="15" hidden="false" customHeight="false" outlineLevel="0" collapsed="false">
      <c r="A12" s="5" t="n">
        <v>7</v>
      </c>
      <c r="B12" s="5" t="s">
        <v>12</v>
      </c>
      <c r="C12" s="6" t="s">
        <v>26</v>
      </c>
      <c r="D12" s="5" t="s">
        <v>14</v>
      </c>
      <c r="E12" s="7" t="n">
        <v>120</v>
      </c>
      <c r="F12" s="8" t="n">
        <v>58000</v>
      </c>
      <c r="G12" s="9" t="n">
        <f aca="false">E12*F12</f>
        <v>6960000</v>
      </c>
      <c r="H12" s="10" t="n">
        <f aca="false">G12/$G$35</f>
        <v>0.0262641509433962</v>
      </c>
      <c r="I12" s="11" t="s">
        <v>27</v>
      </c>
    </row>
    <row r="13" customFormat="false" ht="15" hidden="false" customHeight="false" outlineLevel="0" collapsed="false">
      <c r="A13" s="5" t="n">
        <v>8</v>
      </c>
      <c r="B13" s="5" t="s">
        <v>28</v>
      </c>
      <c r="C13" s="6" t="s">
        <v>29</v>
      </c>
      <c r="D13" s="5" t="s">
        <v>14</v>
      </c>
      <c r="E13" s="7" t="n">
        <v>120</v>
      </c>
      <c r="F13" s="8" t="n">
        <v>75000</v>
      </c>
      <c r="G13" s="9" t="n">
        <f aca="false">E13*F13</f>
        <v>9000000</v>
      </c>
      <c r="H13" s="10" t="n">
        <f aca="false">G13/$G$35</f>
        <v>0.0339622641509434</v>
      </c>
      <c r="I13" s="11" t="s">
        <v>30</v>
      </c>
    </row>
    <row r="14" customFormat="false" ht="15" hidden="false" customHeight="false" outlineLevel="0" collapsed="false">
      <c r="A14" s="5" t="n">
        <v>9</v>
      </c>
      <c r="B14" s="5" t="s">
        <v>28</v>
      </c>
      <c r="C14" s="6" t="s">
        <v>31</v>
      </c>
      <c r="D14" s="5" t="s">
        <v>14</v>
      </c>
      <c r="E14" s="7" t="n">
        <v>220</v>
      </c>
      <c r="F14" s="8" t="n">
        <v>75000</v>
      </c>
      <c r="G14" s="9" t="n">
        <f aca="false">E14*F14</f>
        <v>16500000</v>
      </c>
      <c r="H14" s="10" t="n">
        <f aca="false">G14/$G$35</f>
        <v>0.0622641509433962</v>
      </c>
      <c r="I14" s="11" t="s">
        <v>32</v>
      </c>
    </row>
    <row r="15" customFormat="false" ht="15" hidden="false" customHeight="false" outlineLevel="0" collapsed="false">
      <c r="A15" s="5" t="n">
        <v>10</v>
      </c>
      <c r="B15" s="5" t="s">
        <v>28</v>
      </c>
      <c r="C15" s="6" t="s">
        <v>33</v>
      </c>
      <c r="D15" s="5" t="s">
        <v>14</v>
      </c>
      <c r="E15" s="7" t="n">
        <v>400</v>
      </c>
      <c r="F15" s="8" t="n">
        <v>70000</v>
      </c>
      <c r="G15" s="9" t="n">
        <f aca="false">E15*F15</f>
        <v>28000000</v>
      </c>
      <c r="H15" s="10" t="n">
        <f aca="false">G15/$G$35</f>
        <v>0.105660377358491</v>
      </c>
      <c r="I15" s="11" t="s">
        <v>34</v>
      </c>
    </row>
    <row r="16" customFormat="false" ht="22.35" hidden="false" customHeight="false" outlineLevel="0" collapsed="false">
      <c r="A16" s="5" t="n">
        <v>11</v>
      </c>
      <c r="B16" s="5" t="s">
        <v>28</v>
      </c>
      <c r="C16" s="6" t="s">
        <v>35</v>
      </c>
      <c r="D16" s="5" t="s">
        <v>14</v>
      </c>
      <c r="E16" s="7" t="n">
        <v>100</v>
      </c>
      <c r="F16" s="8" t="n">
        <v>70000</v>
      </c>
      <c r="G16" s="9" t="n">
        <f aca="false">E16*F16</f>
        <v>7000000</v>
      </c>
      <c r="H16" s="10" t="n">
        <f aca="false">G16/$G$35</f>
        <v>0.0264150943396226</v>
      </c>
      <c r="I16" s="11" t="s">
        <v>36</v>
      </c>
    </row>
    <row r="17" customFormat="false" ht="15" hidden="false" customHeight="false" outlineLevel="0" collapsed="false">
      <c r="A17" s="5" t="n">
        <v>12</v>
      </c>
      <c r="B17" s="5" t="s">
        <v>28</v>
      </c>
      <c r="C17" s="6" t="s">
        <v>37</v>
      </c>
      <c r="D17" s="5" t="s">
        <v>38</v>
      </c>
      <c r="E17" s="7" t="n">
        <v>12</v>
      </c>
      <c r="F17" s="8" t="n">
        <v>75000</v>
      </c>
      <c r="G17" s="9" t="n">
        <f aca="false">E17*F17</f>
        <v>900000</v>
      </c>
      <c r="H17" s="10" t="n">
        <f aca="false">G17/$G$35</f>
        <v>0.00339622641509434</v>
      </c>
      <c r="I17" s="11" t="s">
        <v>39</v>
      </c>
    </row>
    <row r="18" customFormat="false" ht="15" hidden="false" customHeight="false" outlineLevel="0" collapsed="false">
      <c r="A18" s="5" t="n">
        <v>13</v>
      </c>
      <c r="B18" s="5" t="s">
        <v>28</v>
      </c>
      <c r="C18" s="6" t="s">
        <v>40</v>
      </c>
      <c r="D18" s="5" t="s">
        <v>41</v>
      </c>
      <c r="E18" s="7" t="n">
        <v>1</v>
      </c>
      <c r="F18" s="8" t="n">
        <v>2500000</v>
      </c>
      <c r="G18" s="9" t="n">
        <f aca="false">E18*F18</f>
        <v>2500000</v>
      </c>
      <c r="H18" s="10" t="n">
        <f aca="false">G18/$G$35</f>
        <v>0.00943396226415094</v>
      </c>
      <c r="I18" s="11" t="s">
        <v>42</v>
      </c>
    </row>
    <row r="19" customFormat="false" ht="22.35" hidden="false" customHeight="false" outlineLevel="0" collapsed="false">
      <c r="A19" s="5" t="n">
        <v>14</v>
      </c>
      <c r="B19" s="5" t="s">
        <v>28</v>
      </c>
      <c r="C19" s="6" t="s">
        <v>43</v>
      </c>
      <c r="D19" s="5" t="s">
        <v>14</v>
      </c>
      <c r="E19" s="7" t="n">
        <v>80</v>
      </c>
      <c r="F19" s="8" t="n">
        <v>80000</v>
      </c>
      <c r="G19" s="9" t="n">
        <f aca="false">E19*F19</f>
        <v>6400000</v>
      </c>
      <c r="H19" s="10" t="n">
        <f aca="false">G19/$G$35</f>
        <v>0.0241509433962264</v>
      </c>
      <c r="I19" s="11" t="s">
        <v>44</v>
      </c>
    </row>
    <row r="20" customFormat="false" ht="15" hidden="false" customHeight="false" outlineLevel="0" collapsed="false">
      <c r="A20" s="5" t="n">
        <v>15</v>
      </c>
      <c r="B20" s="5" t="s">
        <v>45</v>
      </c>
      <c r="C20" s="6" t="s">
        <v>46</v>
      </c>
      <c r="D20" s="5" t="s">
        <v>47</v>
      </c>
      <c r="E20" s="7" t="n">
        <v>12</v>
      </c>
      <c r="F20" s="8" t="n">
        <v>180000</v>
      </c>
      <c r="G20" s="9" t="n">
        <f aca="false">E20*F20</f>
        <v>2160000</v>
      </c>
      <c r="H20" s="10" t="n">
        <f aca="false">G20/$G$35</f>
        <v>0.00815094339622642</v>
      </c>
      <c r="I20" s="11" t="s">
        <v>48</v>
      </c>
    </row>
    <row r="21" customFormat="false" ht="15" hidden="false" customHeight="false" outlineLevel="0" collapsed="false">
      <c r="A21" s="5" t="n">
        <v>16</v>
      </c>
      <c r="B21" s="5" t="s">
        <v>45</v>
      </c>
      <c r="C21" s="6" t="s">
        <v>49</v>
      </c>
      <c r="D21" s="5" t="s">
        <v>47</v>
      </c>
      <c r="E21" s="7" t="n">
        <v>12</v>
      </c>
      <c r="F21" s="8" t="n">
        <v>120000</v>
      </c>
      <c r="G21" s="9" t="n">
        <f aca="false">E21*F21</f>
        <v>1440000</v>
      </c>
      <c r="H21" s="10" t="n">
        <f aca="false">G21/$G$35</f>
        <v>0.00543396226415094</v>
      </c>
      <c r="I21" s="11" t="s">
        <v>50</v>
      </c>
    </row>
    <row r="22" customFormat="false" ht="15" hidden="false" customHeight="false" outlineLevel="0" collapsed="false">
      <c r="A22" s="5" t="n">
        <v>17</v>
      </c>
      <c r="B22" s="5" t="s">
        <v>45</v>
      </c>
      <c r="C22" s="6" t="s">
        <v>51</v>
      </c>
      <c r="D22" s="5" t="s">
        <v>14</v>
      </c>
      <c r="E22" s="7" t="n">
        <v>180</v>
      </c>
      <c r="F22" s="8" t="n">
        <v>70000</v>
      </c>
      <c r="G22" s="9" t="n">
        <f aca="false">E22*F22</f>
        <v>12600000</v>
      </c>
      <c r="H22" s="10" t="n">
        <f aca="false">G22/$G$35</f>
        <v>0.0475471698113208</v>
      </c>
      <c r="I22" s="11" t="s">
        <v>52</v>
      </c>
    </row>
    <row r="23" customFormat="false" ht="15" hidden="false" customHeight="false" outlineLevel="0" collapsed="false">
      <c r="A23" s="5" t="n">
        <v>18</v>
      </c>
      <c r="B23" s="5" t="s">
        <v>45</v>
      </c>
      <c r="C23" s="6" t="s">
        <v>53</v>
      </c>
      <c r="D23" s="5" t="s">
        <v>54</v>
      </c>
      <c r="E23" s="7" t="n">
        <v>3</v>
      </c>
      <c r="F23" s="8" t="n">
        <v>1200000</v>
      </c>
      <c r="G23" s="9" t="n">
        <f aca="false">E23*F23</f>
        <v>3600000</v>
      </c>
      <c r="H23" s="10" t="n">
        <f aca="false">G23/$G$35</f>
        <v>0.0135849056603774</v>
      </c>
      <c r="I23" s="11" t="s">
        <v>55</v>
      </c>
    </row>
    <row r="24" customFormat="false" ht="15" hidden="false" customHeight="false" outlineLevel="0" collapsed="false">
      <c r="A24" s="5" t="n">
        <v>19</v>
      </c>
      <c r="B24" s="5" t="s">
        <v>45</v>
      </c>
      <c r="C24" s="6" t="s">
        <v>56</v>
      </c>
      <c r="D24" s="5" t="s">
        <v>57</v>
      </c>
      <c r="E24" s="7" t="n">
        <v>6</v>
      </c>
      <c r="F24" s="8" t="n">
        <v>450000</v>
      </c>
      <c r="G24" s="9" t="n">
        <f aca="false">E24*F24</f>
        <v>2700000</v>
      </c>
      <c r="H24" s="10" t="n">
        <f aca="false">G24/$G$35</f>
        <v>0.010188679245283</v>
      </c>
      <c r="I24" s="11" t="s">
        <v>58</v>
      </c>
    </row>
    <row r="25" customFormat="false" ht="15" hidden="false" customHeight="false" outlineLevel="0" collapsed="false">
      <c r="A25" s="5" t="n">
        <v>20</v>
      </c>
      <c r="B25" s="5" t="s">
        <v>59</v>
      </c>
      <c r="C25" s="6" t="s">
        <v>60</v>
      </c>
      <c r="D25" s="5" t="s">
        <v>14</v>
      </c>
      <c r="E25" s="7" t="n">
        <v>260</v>
      </c>
      <c r="F25" s="8" t="n">
        <v>85000</v>
      </c>
      <c r="G25" s="9" t="n">
        <f aca="false">E25*F25</f>
        <v>22100000</v>
      </c>
      <c r="H25" s="10" t="n">
        <f aca="false">G25/$G$35</f>
        <v>0.0833962264150943</v>
      </c>
      <c r="I25" s="11" t="s">
        <v>61</v>
      </c>
    </row>
    <row r="26" customFormat="false" ht="15" hidden="false" customHeight="false" outlineLevel="0" collapsed="false">
      <c r="A26" s="5" t="n">
        <v>21</v>
      </c>
      <c r="B26" s="5" t="s">
        <v>59</v>
      </c>
      <c r="C26" s="6" t="s">
        <v>62</v>
      </c>
      <c r="D26" s="5" t="s">
        <v>38</v>
      </c>
      <c r="E26" s="7" t="n">
        <v>12</v>
      </c>
      <c r="F26" s="8" t="n">
        <v>95000</v>
      </c>
      <c r="G26" s="9" t="n">
        <f aca="false">E26*F26</f>
        <v>1140000</v>
      </c>
      <c r="H26" s="10" t="n">
        <f aca="false">G26/$G$35</f>
        <v>0.00430188679245283</v>
      </c>
      <c r="I26" s="11" t="s">
        <v>63</v>
      </c>
    </row>
    <row r="27" customFormat="false" ht="15" hidden="false" customHeight="false" outlineLevel="0" collapsed="false">
      <c r="A27" s="5" t="n">
        <v>22</v>
      </c>
      <c r="B27" s="5" t="s">
        <v>59</v>
      </c>
      <c r="C27" s="6" t="s">
        <v>64</v>
      </c>
      <c r="D27" s="5" t="s">
        <v>65</v>
      </c>
      <c r="E27" s="7" t="n">
        <v>18</v>
      </c>
      <c r="F27" s="8" t="n">
        <v>180000</v>
      </c>
      <c r="G27" s="9" t="n">
        <f aca="false">E27*F27</f>
        <v>3240000</v>
      </c>
      <c r="H27" s="10" t="n">
        <f aca="false">G27/$G$35</f>
        <v>0.0122264150943396</v>
      </c>
      <c r="I27" s="11" t="s">
        <v>66</v>
      </c>
    </row>
    <row r="28" customFormat="false" ht="22.35" hidden="false" customHeight="false" outlineLevel="0" collapsed="false">
      <c r="A28" s="5" t="n">
        <v>23</v>
      </c>
      <c r="B28" s="5" t="s">
        <v>67</v>
      </c>
      <c r="C28" s="6" t="s">
        <v>68</v>
      </c>
      <c r="D28" s="5" t="s">
        <v>14</v>
      </c>
      <c r="E28" s="7" t="n">
        <v>180</v>
      </c>
      <c r="F28" s="8" t="n">
        <v>55000</v>
      </c>
      <c r="G28" s="9" t="n">
        <f aca="false">E28*F28</f>
        <v>9900000</v>
      </c>
      <c r="H28" s="10" t="n">
        <f aca="false">G28/$G$35</f>
        <v>0.0373584905660377</v>
      </c>
      <c r="I28" s="11" t="s">
        <v>69</v>
      </c>
    </row>
    <row r="29" customFormat="false" ht="15" hidden="false" customHeight="false" outlineLevel="0" collapsed="false">
      <c r="A29" s="5" t="n">
        <v>24</v>
      </c>
      <c r="B29" s="5" t="s">
        <v>67</v>
      </c>
      <c r="C29" s="6" t="s">
        <v>70</v>
      </c>
      <c r="D29" s="5" t="s">
        <v>14</v>
      </c>
      <c r="E29" s="7" t="n">
        <v>60</v>
      </c>
      <c r="F29" s="8" t="n">
        <v>60000</v>
      </c>
      <c r="G29" s="9" t="n">
        <f aca="false">E29*F29</f>
        <v>3600000</v>
      </c>
      <c r="H29" s="10" t="n">
        <f aca="false">G29/$G$35</f>
        <v>0.0135849056603774</v>
      </c>
      <c r="I29" s="11" t="s">
        <v>71</v>
      </c>
    </row>
    <row r="30" customFormat="false" ht="15" hidden="false" customHeight="false" outlineLevel="0" collapsed="false">
      <c r="A30" s="5" t="n">
        <v>25</v>
      </c>
      <c r="B30" s="5" t="s">
        <v>67</v>
      </c>
      <c r="C30" s="6" t="s">
        <v>72</v>
      </c>
      <c r="D30" s="5" t="s">
        <v>54</v>
      </c>
      <c r="E30" s="7" t="n">
        <v>3</v>
      </c>
      <c r="F30" s="8" t="n">
        <v>450000</v>
      </c>
      <c r="G30" s="9" t="n">
        <f aca="false">E30*F30</f>
        <v>1350000</v>
      </c>
      <c r="H30" s="10" t="n">
        <f aca="false">G30/$G$35</f>
        <v>0.00509433962264151</v>
      </c>
      <c r="I30" s="11" t="s">
        <v>73</v>
      </c>
    </row>
    <row r="31" customFormat="false" ht="15" hidden="false" customHeight="false" outlineLevel="0" collapsed="false">
      <c r="A31" s="5" t="n">
        <v>26</v>
      </c>
      <c r="B31" s="5" t="s">
        <v>67</v>
      </c>
      <c r="C31" s="6" t="s">
        <v>74</v>
      </c>
      <c r="D31" s="5" t="s">
        <v>75</v>
      </c>
      <c r="E31" s="7" t="n">
        <v>1</v>
      </c>
      <c r="F31" s="8" t="n">
        <v>2800000</v>
      </c>
      <c r="G31" s="9" t="n">
        <f aca="false">E31*F31</f>
        <v>2800000</v>
      </c>
      <c r="H31" s="10" t="n">
        <f aca="false">G31/$G$35</f>
        <v>0.0105660377358491</v>
      </c>
      <c r="I31" s="11" t="s">
        <v>76</v>
      </c>
    </row>
    <row r="32" customFormat="false" ht="22.35" hidden="false" customHeight="false" outlineLevel="0" collapsed="false">
      <c r="A32" s="5" t="n">
        <v>27</v>
      </c>
      <c r="B32" s="5" t="s">
        <v>77</v>
      </c>
      <c r="C32" s="6" t="s">
        <v>78</v>
      </c>
      <c r="D32" s="5" t="s">
        <v>14</v>
      </c>
      <c r="E32" s="7" t="n">
        <v>60</v>
      </c>
      <c r="F32" s="8" t="n">
        <v>130000</v>
      </c>
      <c r="G32" s="9" t="n">
        <f aca="false">E32*F32</f>
        <v>7800000</v>
      </c>
      <c r="H32" s="10" t="n">
        <f aca="false">G32/$G$35</f>
        <v>0.0294339622641509</v>
      </c>
      <c r="I32" s="11" t="s">
        <v>79</v>
      </c>
    </row>
    <row r="33" customFormat="false" ht="15" hidden="false" customHeight="false" outlineLevel="0" collapsed="false">
      <c r="A33" s="5" t="n">
        <v>28</v>
      </c>
      <c r="B33" s="5" t="s">
        <v>77</v>
      </c>
      <c r="C33" s="6" t="s">
        <v>80</v>
      </c>
      <c r="D33" s="5" t="s">
        <v>14</v>
      </c>
      <c r="E33" s="7" t="n">
        <v>70</v>
      </c>
      <c r="F33" s="8" t="n">
        <v>120000</v>
      </c>
      <c r="G33" s="9" t="n">
        <f aca="false">E33*F33</f>
        <v>8400000</v>
      </c>
      <c r="H33" s="10" t="n">
        <f aca="false">G33/$G$35</f>
        <v>0.0316981132075472</v>
      </c>
      <c r="I33" s="11" t="s">
        <v>81</v>
      </c>
    </row>
    <row r="34" customFormat="false" ht="22.35" hidden="false" customHeight="false" outlineLevel="0" collapsed="false">
      <c r="A34" s="5" t="n">
        <v>29</v>
      </c>
      <c r="B34" s="5" t="s">
        <v>77</v>
      </c>
      <c r="C34" s="6" t="s">
        <v>82</v>
      </c>
      <c r="D34" s="5" t="s">
        <v>83</v>
      </c>
      <c r="E34" s="7" t="n">
        <v>1</v>
      </c>
      <c r="F34" s="8" t="n">
        <v>9990000</v>
      </c>
      <c r="G34" s="9" t="n">
        <f aca="false">E34*F34</f>
        <v>9990000</v>
      </c>
      <c r="H34" s="10" t="n">
        <f aca="false">G34/$G$35</f>
        <v>0.0376981132075472</v>
      </c>
      <c r="I34" s="11" t="s">
        <v>84</v>
      </c>
    </row>
    <row r="35" customFormat="false" ht="15" hidden="false" customHeight="false" outlineLevel="0" collapsed="false">
      <c r="A35" s="12" t="s">
        <v>85</v>
      </c>
      <c r="B35" s="12"/>
      <c r="C35" s="12"/>
      <c r="D35" s="12"/>
      <c r="E35" s="12"/>
      <c r="F35" s="12"/>
      <c r="G35" s="13" t="n">
        <f aca="false">SUM(G6:G34)</f>
        <v>265000000</v>
      </c>
      <c r="H35" s="14" t="n">
        <f aca="false">SUM(H6:H34)</f>
        <v>1</v>
      </c>
      <c r="I35" s="15"/>
    </row>
    <row r="37" customFormat="false" ht="15" hidden="false" customHeight="false" outlineLevel="0" collapsed="false">
      <c r="B37" s="16" t="s">
        <v>86</v>
      </c>
      <c r="G37" s="17" t="n">
        <v>265000000</v>
      </c>
    </row>
    <row r="38" customFormat="false" ht="15" hidden="false" customHeight="false" outlineLevel="0" collapsed="false">
      <c r="B38" s="16" t="s">
        <v>87</v>
      </c>
      <c r="G38" s="18" t="n">
        <f aca="false">G35-G37</f>
        <v>0</v>
      </c>
    </row>
    <row r="40" customFormat="false" ht="15" hidden="false" customHeight="false" outlineLevel="0" collapsed="false">
      <c r="B40" s="3" t="s">
        <v>88</v>
      </c>
    </row>
  </sheetData>
  <mergeCells count="1">
    <mergeCell ref="A35:F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4" min="4" style="0" width="78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4" customFormat="false" ht="15" hidden="false" customHeight="false" outlineLevel="0" collapsed="false">
      <c r="A4" s="4" t="s">
        <v>4</v>
      </c>
      <c r="B4" s="4" t="s">
        <v>91</v>
      </c>
      <c r="C4" s="4" t="s">
        <v>92</v>
      </c>
      <c r="D4" s="4" t="s">
        <v>93</v>
      </c>
    </row>
    <row r="5" customFormat="false" ht="22.35" hidden="false" customHeight="false" outlineLevel="0" collapsed="false">
      <c r="A5" s="5" t="s">
        <v>12</v>
      </c>
      <c r="B5" s="9" t="n">
        <f aca="false">SUMIF('Costos Unitarios'!$B$6:$B$34,A5,'Costos Unitarios'!$G$6:$G$34)</f>
        <v>101880000</v>
      </c>
      <c r="C5" s="10" t="n">
        <f aca="false">B5/$B$11</f>
        <v>0.384452830188679</v>
      </c>
      <c r="D5" s="11" t="s">
        <v>94</v>
      </c>
    </row>
    <row r="6" customFormat="false" ht="22.35" hidden="false" customHeight="false" outlineLevel="0" collapsed="false">
      <c r="A6" s="5" t="s">
        <v>28</v>
      </c>
      <c r="B6" s="9" t="n">
        <f aca="false">SUMIF('Costos Unitarios'!$B$6:$B$34,A6,'Costos Unitarios'!$G$6:$G$34)</f>
        <v>70300000</v>
      </c>
      <c r="C6" s="10" t="n">
        <f aca="false">B6/$B$11</f>
        <v>0.265283018867925</v>
      </c>
      <c r="D6" s="11" t="s">
        <v>95</v>
      </c>
    </row>
    <row r="7" customFormat="false" ht="22.35" hidden="false" customHeight="false" outlineLevel="0" collapsed="false">
      <c r="A7" s="5" t="s">
        <v>45</v>
      </c>
      <c r="B7" s="9" t="n">
        <f aca="false">SUMIF('Costos Unitarios'!$B$6:$B$34,A7,'Costos Unitarios'!$G$6:$G$34)</f>
        <v>22500000</v>
      </c>
      <c r="C7" s="10" t="n">
        <f aca="false">B7/$B$11</f>
        <v>0.0849056603773585</v>
      </c>
      <c r="D7" s="11" t="s">
        <v>96</v>
      </c>
    </row>
    <row r="8" customFormat="false" ht="22.35" hidden="false" customHeight="false" outlineLevel="0" collapsed="false">
      <c r="A8" s="5" t="s">
        <v>59</v>
      </c>
      <c r="B8" s="9" t="n">
        <f aca="false">SUMIF('Costos Unitarios'!$B$6:$B$34,A8,'Costos Unitarios'!$G$6:$G$34)</f>
        <v>26480000</v>
      </c>
      <c r="C8" s="10" t="n">
        <f aca="false">B8/$B$11</f>
        <v>0.0999245283018868</v>
      </c>
      <c r="D8" s="11" t="s">
        <v>97</v>
      </c>
    </row>
    <row r="9" customFormat="false" ht="22.35" hidden="false" customHeight="false" outlineLevel="0" collapsed="false">
      <c r="A9" s="5" t="s">
        <v>67</v>
      </c>
      <c r="B9" s="9" t="n">
        <f aca="false">SUMIF('Costos Unitarios'!$B$6:$B$34,A9,'Costos Unitarios'!$G$6:$G$34)</f>
        <v>17650000</v>
      </c>
      <c r="C9" s="10" t="n">
        <f aca="false">B9/$B$11</f>
        <v>0.0666037735849057</v>
      </c>
      <c r="D9" s="11" t="s">
        <v>98</v>
      </c>
    </row>
    <row r="10" customFormat="false" ht="22.35" hidden="false" customHeight="false" outlineLevel="0" collapsed="false">
      <c r="A10" s="5" t="s">
        <v>77</v>
      </c>
      <c r="B10" s="9" t="n">
        <f aca="false">SUMIF('Costos Unitarios'!$B$6:$B$34,A10,'Costos Unitarios'!$G$6:$G$34)</f>
        <v>26190000</v>
      </c>
      <c r="C10" s="10" t="n">
        <f aca="false">B10/$B$11</f>
        <v>0.0988301886792453</v>
      </c>
      <c r="D10" s="11" t="s">
        <v>99</v>
      </c>
    </row>
    <row r="11" customFormat="false" ht="15" hidden="false" customHeight="false" outlineLevel="0" collapsed="false">
      <c r="A11" s="19" t="s">
        <v>100</v>
      </c>
      <c r="B11" s="13" t="n">
        <f aca="false">SUM(B5:B10)</f>
        <v>265000000</v>
      </c>
      <c r="C11" s="14" t="n">
        <f aca="false">SUM(C5:C10)</f>
        <v>1</v>
      </c>
      <c r="D11" s="15"/>
    </row>
    <row r="13" customFormat="false" ht="15" hidden="false" customHeight="false" outlineLevel="0" collapsed="false">
      <c r="A13" s="16" t="s">
        <v>101</v>
      </c>
      <c r="B13" s="18" t="n">
        <f aca="false">B11-265000000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8" min="5" style="0" width="20"/>
    <col collapsed="false" customWidth="true" hidden="false" outlineLevel="0" max="9" min="9" style="0" width="62"/>
  </cols>
  <sheetData>
    <row r="1" customFormat="false" ht="17.35" hidden="false" customHeight="false" outlineLevel="0" collapsed="false">
      <c r="A1" s="1" t="s">
        <v>102</v>
      </c>
    </row>
    <row r="2" customFormat="false" ht="15" hidden="false" customHeight="false" outlineLevel="0" collapsed="false">
      <c r="A2" s="2" t="s">
        <v>103</v>
      </c>
    </row>
    <row r="4" customFormat="false" ht="33.75" hidden="false" customHeight="true" outlineLevel="0" collapsed="false">
      <c r="A4" s="4" t="s">
        <v>104</v>
      </c>
      <c r="B4" s="4" t="s">
        <v>105</v>
      </c>
      <c r="C4" s="4" t="s">
        <v>106</v>
      </c>
      <c r="D4" s="4" t="s">
        <v>107</v>
      </c>
      <c r="E4" s="4" t="s">
        <v>108</v>
      </c>
      <c r="F4" s="4" t="s">
        <v>109</v>
      </c>
      <c r="G4" s="4" t="s">
        <v>110</v>
      </c>
      <c r="H4" s="4" t="s">
        <v>111</v>
      </c>
      <c r="I4" s="4" t="s">
        <v>112</v>
      </c>
    </row>
    <row r="5" customFormat="false" ht="22.35" hidden="false" customHeight="false" outlineLevel="0" collapsed="false">
      <c r="A5" s="20" t="s">
        <v>113</v>
      </c>
      <c r="B5" s="5" t="s">
        <v>114</v>
      </c>
      <c r="C5" s="8" t="n">
        <v>24800000</v>
      </c>
      <c r="D5" s="8" t="n">
        <v>25400000</v>
      </c>
      <c r="E5" s="9" t="n">
        <f aca="false">SUM($C$5:C5)</f>
        <v>24800000</v>
      </c>
      <c r="F5" s="9" t="n">
        <f aca="false">IF(D5="","",SUM($D$5:D5))</f>
        <v>25400000</v>
      </c>
      <c r="G5" s="21" t="n">
        <f aca="false">IF(F5="","",(F5-E5)/E5)</f>
        <v>0.0241935483870968</v>
      </c>
      <c r="H5" s="5" t="str">
        <f aca="false">IF(G5="","Pendiente",IF(ABS(G5)&lt;=0.1,"DENTRO DE META","FUERA DE META"))</f>
        <v>DENTRO DE META</v>
      </c>
      <c r="I5" s="11" t="s">
        <v>115</v>
      </c>
    </row>
    <row r="6" customFormat="false" ht="22.35" hidden="false" customHeight="false" outlineLevel="0" collapsed="false">
      <c r="A6" s="20" t="s">
        <v>116</v>
      </c>
      <c r="B6" s="5" t="s">
        <v>117</v>
      </c>
      <c r="C6" s="8" t="n">
        <v>33600000</v>
      </c>
      <c r="D6" s="8" t="n">
        <v>36500000</v>
      </c>
      <c r="E6" s="9" t="n">
        <f aca="false">SUM($C$5:C6)</f>
        <v>58400000</v>
      </c>
      <c r="F6" s="9" t="n">
        <f aca="false">IF(D6="","",SUM($D$5:D6))</f>
        <v>61900000</v>
      </c>
      <c r="G6" s="21" t="n">
        <f aca="false">IF(F6="","",(F6-E6)/E6)</f>
        <v>0.0599315068493151</v>
      </c>
      <c r="H6" s="5" t="str">
        <f aca="false">IF(G6="","Pendiente",IF(ABS(G6)&lt;=0.1,"DENTRO DE META","FUERA DE META"))</f>
        <v>DENTRO DE META</v>
      </c>
      <c r="I6" s="11" t="s">
        <v>118</v>
      </c>
    </row>
    <row r="7" customFormat="false" ht="15" hidden="false" customHeight="false" outlineLevel="0" collapsed="false">
      <c r="A7" s="20" t="s">
        <v>119</v>
      </c>
      <c r="B7" s="5" t="s">
        <v>120</v>
      </c>
      <c r="C7" s="8" t="n">
        <v>42300000</v>
      </c>
      <c r="D7" s="22"/>
      <c r="E7" s="9" t="n">
        <f aca="false">SUM($C$5:C7)</f>
        <v>100700000</v>
      </c>
      <c r="F7" s="9" t="str">
        <f aca="false">IF(D7="","",SUM($D$5:D7))</f>
        <v/>
      </c>
      <c r="G7" s="21" t="str">
        <f aca="false">IF(F7="","",(F7-E7)/E7)</f>
        <v/>
      </c>
      <c r="H7" s="5" t="str">
        <f aca="false">IF(G7="","Pendiente",IF(ABS(G7)&lt;=0.1,"DENTRO DE META","FUERA DE META"))</f>
        <v>Pendiente</v>
      </c>
      <c r="I7" s="11" t="s">
        <v>121</v>
      </c>
    </row>
    <row r="8" customFormat="false" ht="15" hidden="false" customHeight="false" outlineLevel="0" collapsed="false">
      <c r="A8" s="20" t="s">
        <v>122</v>
      </c>
      <c r="B8" s="5" t="s">
        <v>123</v>
      </c>
      <c r="C8" s="8" t="n">
        <v>55800000</v>
      </c>
      <c r="D8" s="22"/>
      <c r="E8" s="9" t="n">
        <f aca="false">SUM($C$5:C8)</f>
        <v>156500000</v>
      </c>
      <c r="F8" s="9" t="str">
        <f aca="false">IF(D8="","",SUM($D$5:D8))</f>
        <v/>
      </c>
      <c r="G8" s="21" t="str">
        <f aca="false">IF(F8="","",(F8-E8)/E8)</f>
        <v/>
      </c>
      <c r="H8" s="5" t="str">
        <f aca="false">IF(G8="","Pendiente",IF(ABS(G8)&lt;=0.1,"DENTRO DE META","FUERA DE META"))</f>
        <v>Pendiente</v>
      </c>
      <c r="I8" s="11" t="s">
        <v>124</v>
      </c>
    </row>
    <row r="9" customFormat="false" ht="15" hidden="false" customHeight="false" outlineLevel="0" collapsed="false">
      <c r="A9" s="20" t="s">
        <v>125</v>
      </c>
      <c r="B9" s="5" t="s">
        <v>126</v>
      </c>
      <c r="C9" s="8" t="n">
        <v>62400000</v>
      </c>
      <c r="D9" s="22"/>
      <c r="E9" s="9" t="n">
        <f aca="false">SUM($C$5:C9)</f>
        <v>218900000</v>
      </c>
      <c r="F9" s="9" t="str">
        <f aca="false">IF(D9="","",SUM($D$5:D9))</f>
        <v/>
      </c>
      <c r="G9" s="21" t="str">
        <f aca="false">IF(F9="","",(F9-E9)/E9)</f>
        <v/>
      </c>
      <c r="H9" s="5" t="str">
        <f aca="false">IF(G9="","Pendiente",IF(ABS(G9)&lt;=0.1,"DENTRO DE META","FUERA DE META"))</f>
        <v>Pendiente</v>
      </c>
      <c r="I9" s="11" t="s">
        <v>127</v>
      </c>
    </row>
    <row r="10" customFormat="false" ht="15" hidden="false" customHeight="false" outlineLevel="0" collapsed="false">
      <c r="A10" s="20" t="s">
        <v>128</v>
      </c>
      <c r="B10" s="5" t="s">
        <v>129</v>
      </c>
      <c r="C10" s="8" t="n">
        <v>46100000</v>
      </c>
      <c r="D10" s="22"/>
      <c r="E10" s="9" t="n">
        <f aca="false">SUM($C$5:C10)</f>
        <v>265000000</v>
      </c>
      <c r="F10" s="9" t="str">
        <f aca="false">IF(D10="","",SUM($D$5:D10))</f>
        <v/>
      </c>
      <c r="G10" s="21" t="str">
        <f aca="false">IF(F10="","",(F10-E10)/E10)</f>
        <v/>
      </c>
      <c r="H10" s="5" t="str">
        <f aca="false">IF(G10="","Pendiente",IF(ABS(G10)&lt;=0.1,"DENTRO DE META","FUERA DE META"))</f>
        <v>Pendiente</v>
      </c>
      <c r="I10" s="11" t="s">
        <v>130</v>
      </c>
    </row>
    <row r="11" customFormat="false" ht="15" hidden="false" customHeight="false" outlineLevel="0" collapsed="false">
      <c r="A11" s="15"/>
      <c r="B11" s="19" t="s">
        <v>131</v>
      </c>
      <c r="C11" s="23" t="n">
        <f aca="false">SUM(C5:C10)</f>
        <v>265000000</v>
      </c>
      <c r="D11" s="23" t="n">
        <f aca="false">SUM(D5:D10)</f>
        <v>61900000</v>
      </c>
      <c r="E11" s="15"/>
      <c r="F11" s="15"/>
      <c r="G11" s="15"/>
      <c r="H11" s="15"/>
      <c r="I11" s="15"/>
    </row>
    <row r="13" customFormat="false" ht="15" hidden="false" customHeight="false" outlineLevel="0" collapsed="false">
      <c r="B13" s="16" t="s">
        <v>132</v>
      </c>
      <c r="G13" s="18" t="n">
        <f aca="false">C11-'Costos Unitarios'!G35</f>
        <v>0</v>
      </c>
    </row>
    <row r="15" customFormat="false" ht="15" hidden="false" customHeight="false" outlineLevel="0" collapsed="false">
      <c r="B15" s="24" t="s">
        <v>133</v>
      </c>
    </row>
    <row r="16" customFormat="false" ht="15" hidden="false" customHeight="false" outlineLevel="0" collapsed="false">
      <c r="B16" s="25" t="s">
        <v>134</v>
      </c>
      <c r="D16" s="26" t="n">
        <f aca="false">E6</f>
        <v>58400000</v>
      </c>
    </row>
    <row r="17" customFormat="false" ht="15" hidden="false" customHeight="false" outlineLevel="0" collapsed="false">
      <c r="B17" s="25" t="s">
        <v>135</v>
      </c>
      <c r="D17" s="26" t="n">
        <f aca="false">F6</f>
        <v>61900000</v>
      </c>
    </row>
    <row r="18" customFormat="false" ht="15" hidden="false" customHeight="false" outlineLevel="0" collapsed="false">
      <c r="B18" s="25" t="s">
        <v>136</v>
      </c>
      <c r="D18" s="27" t="n">
        <f aca="false">G6</f>
        <v>0.0599315068493151</v>
      </c>
    </row>
    <row r="19" customFormat="false" ht="15" hidden="false" customHeight="false" outlineLevel="0" collapsed="false">
      <c r="B19" s="25" t="s">
        <v>137</v>
      </c>
      <c r="D19" s="28" t="str">
        <f aca="false">H6</f>
        <v>DENTRO DE META</v>
      </c>
    </row>
    <row r="21" customFormat="false" ht="15" hidden="false" customHeight="false" outlineLevel="0" collapsed="false">
      <c r="B21" s="3" t="s">
        <v>138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2026-10-16T00:18:08Z</dcterms:created>
  <dc:creator>openpyxl</dc:creator>
  <dc:description/>
  <dc:language>en-US</dc:language>
  <cp:lastModifiedBy/>
  <dcterms:modified xsi:type="dcterms:W3CDTF">2026-10-16T00:18:08Z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