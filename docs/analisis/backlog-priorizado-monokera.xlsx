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Priorizado" sheetId="1" state="visible" r:id="rId3"/>
    <sheet name="Indicador Spr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<sst xmlns="http://schemas.openxmlformats.org/spreadsheetml/2006/main" count="363" uniqueCount="172">
  <si>
    <t xml:space="preserve">BACKLOG PRIORIZADO DEL PRODUCTO - MONOKERA APP</t>
  </si>
  <si>
    <t xml:space="preserve">Caso 10 - Monokera | Fase Técnica 1: Análisis | Líder: Santiago Arias Mosquera | Corte: 17 de septiembre de 2026</t>
  </si>
  <si>
    <t xml:space="preserve">Priorización MoSCoW combinada con relación Valor/Esfuerzo. Estimacion en puntos de historia (escala Fibonacci). El alcance del MVP corresponde a las historias 'Must have' y 'Should have'.</t>
  </si>
  <si>
    <t xml:space="preserve">ID</t>
  </si>
  <si>
    <t xml:space="preserve">Épica</t>
  </si>
  <si>
    <t xml:space="preserve">Historia de usuario</t>
  </si>
  <si>
    <t xml:space="preserve">Valor de negocio (1-5)</t>
  </si>
  <si>
    <t xml:space="preserve">Esfuerzo (pts)</t>
  </si>
  <si>
    <t xml:space="preserve">Ratio Valor/Esfuerzo</t>
  </si>
  <si>
    <t xml:space="preserve">Prioridad MoSCoW</t>
  </si>
  <si>
    <t xml:space="preserve">Orden</t>
  </si>
  <si>
    <t xml:space="preserve">Sprint asignado</t>
  </si>
  <si>
    <t xml:space="preserve">Estado</t>
  </si>
  <si>
    <t xml:space="preserve">Stakeholder que la exige</t>
  </si>
  <si>
    <t xml:space="preserve">HU-01</t>
  </si>
  <si>
    <t xml:space="preserve">E8 - Gestión del proyecto</t>
  </si>
  <si>
    <t xml:space="preserve">Como equipo de proyecto necesito un acta de constitución aprobada para formalizar el alcance, los roles y las restricciones del proyecto.</t>
  </si>
  <si>
    <t xml:space="preserve">Must have</t>
  </si>
  <si>
    <t xml:space="preserve">Sprint 1</t>
  </si>
  <si>
    <t xml:space="preserve">Completado</t>
  </si>
  <si>
    <t xml:space="preserve">ST-05 Dirección General</t>
  </si>
  <si>
    <t xml:space="preserve">HU-02</t>
  </si>
  <si>
    <t xml:space="preserve">Como equipo de proyecto necesito un esquema metodológico justificado para gobernar la ejecución bajo incertidumbre regulatoria.</t>
  </si>
  <si>
    <t xml:space="preserve">ST-11 Docente</t>
  </si>
  <si>
    <t xml:space="preserve">HU-03</t>
  </si>
  <si>
    <t xml:space="preserve">Como gerente de proyecto necesito un cronograma con línea base para controlar fechas de fase y entregas quincenales.</t>
  </si>
  <si>
    <t xml:space="preserve">HU-04</t>
  </si>
  <si>
    <t xml:space="preserve">Como gerente de proyecto necesito el presupuesto distribuido y una tabla de costos unitarios para controlar la desviación presupuestal.</t>
  </si>
  <si>
    <t xml:space="preserve">HU-05</t>
  </si>
  <si>
    <t xml:space="preserve">Como equipo necesito una bitácora de reuniones para dejar trazabilidad de las decisiones tomadas con el cliente.</t>
  </si>
  <si>
    <t xml:space="preserve">HU-06</t>
  </si>
  <si>
    <t xml:space="preserve">E7 - Cumplimiento y accesibilidad</t>
  </si>
  <si>
    <t xml:space="preserve">Como área legal necesito conocer el inventario de textos contractuales que se mostrarán en la aplicación para poder validarlos.</t>
  </si>
  <si>
    <t xml:space="preserve">ST-01 Legal</t>
  </si>
  <si>
    <t xml:space="preserve">HU-07</t>
  </si>
  <si>
    <t xml:space="preserve">E1 - Resumen y estado de póliza</t>
  </si>
  <si>
    <t xml:space="preserve">Como asegurado quiero ver el resumen de mi póliza activa para saber de un vistazo qué tengo contratado.</t>
  </si>
  <si>
    <t xml:space="preserve">ST-06 Asegurado final</t>
  </si>
  <si>
    <t xml:space="preserve">HU-08</t>
  </si>
  <si>
    <t xml:space="preserve">Como asegurado quiero ver el estado de mi cobertura (activa, por vencer, vencida) para saber si estoy protegido hoy.</t>
  </si>
  <si>
    <t xml:space="preserve">HU-09</t>
  </si>
  <si>
    <t xml:space="preserve">Como equipo necesito identificar y clasificar los stakeholders para definir la estrategia de relacionamiento de cada uno.</t>
  </si>
  <si>
    <t xml:space="preserve">ST-10 Equipo de proyecto</t>
  </si>
  <si>
    <t xml:space="preserve">HU-10</t>
  </si>
  <si>
    <t xml:space="preserve">E2 - Primas, coberturas y exclusiones</t>
  </si>
  <si>
    <t xml:space="preserve">Como área actuarial necesito que se documente que el prototipo no altera el modelo actuarial ni las tarifas reales.</t>
  </si>
  <si>
    <t xml:space="preserve">No completado</t>
  </si>
  <si>
    <t xml:space="preserve">ST-02 Actuaría</t>
  </si>
  <si>
    <t xml:space="preserve">HU-11</t>
  </si>
  <si>
    <t xml:space="preserve">Como asegurado quiero ver el historial de mi cobertura para entender cómo ha cambiado mi póliza en el tiempo.</t>
  </si>
  <si>
    <t xml:space="preserve">Should have</t>
  </si>
  <si>
    <t xml:space="preserve">HU-12</t>
  </si>
  <si>
    <t xml:space="preserve">Como asegurado quiero consultar el detalle de mis coberturas para saber exactamente qué cubre mi póliza.</t>
  </si>
  <si>
    <t xml:space="preserve">Sprint 2</t>
  </si>
  <si>
    <t xml:space="preserve">HU-13</t>
  </si>
  <si>
    <t xml:space="preserve">Como asegurado quiero ver las exclusiones de mi póliza en lenguaje claro para saber qué NO está cubierto.</t>
  </si>
  <si>
    <t xml:space="preserve">HU-14</t>
  </si>
  <si>
    <t xml:space="preserve">Como asegurado quiero entender el valor de mi prima, el deducible y el copago para no llevarme sorpresas al reclamar.</t>
  </si>
  <si>
    <t xml:space="preserve">ST-09 Soporte</t>
  </si>
  <si>
    <t xml:space="preserve">HU-15</t>
  </si>
  <si>
    <t xml:space="preserve">E3 - Vigencias y alertas de renovación</t>
  </si>
  <si>
    <t xml:space="preserve">Como asegurado quiero ver la fecha de vigencia de mi póliza para saber hasta cuándo estoy cubierto.</t>
  </si>
  <si>
    <t xml:space="preserve">HU-16</t>
  </si>
  <si>
    <t xml:space="preserve">Como asegurado quiero recibir una alerta antes del vencimiento para no perder mi cobertura por olvido.</t>
  </si>
  <si>
    <t xml:space="preserve">ST-03 Marketing</t>
  </si>
  <si>
    <t xml:space="preserve">HU-17</t>
  </si>
  <si>
    <t xml:space="preserve">Como área legal quiero que cada pantalla que muestre condiciones contractuales enlace al clausulado oficial para evitar riesgo legal.</t>
  </si>
  <si>
    <t xml:space="preserve">HU-18</t>
  </si>
  <si>
    <t xml:space="preserve">Como equipo necesito una matriz de riesgos inicial con responsables y planes de contingencia para anticipar los problemas del caso.</t>
  </si>
  <si>
    <t xml:space="preserve">HU-19</t>
  </si>
  <si>
    <t xml:space="preserve">Como equipo necesito el backlog priorizado para ordenar la construcción según valor de negocio y esfuerzo.</t>
  </si>
  <si>
    <t xml:space="preserve">HU-20</t>
  </si>
  <si>
    <t xml:space="preserve">Como asegurado quiero comparar lo que cubre mi plan actual frente a lo que no cubre para decidir si necesito ampliarlo.</t>
  </si>
  <si>
    <t xml:space="preserve">HU-21</t>
  </si>
  <si>
    <t xml:space="preserve">E5 - Contenido educativo</t>
  </si>
  <si>
    <t xml:space="preserve">Como asegurado quiero glosarios en lenguaje sencillo de los términos técnicos para entender mi póliza sin llamar a soporte.</t>
  </si>
  <si>
    <t xml:space="preserve">HU-22</t>
  </si>
  <si>
    <t xml:space="preserve">E4 - Simulador de planes</t>
  </si>
  <si>
    <t xml:space="preserve">Como área actuarial necesito que el simulador opere sobre rangos referenciales y no sobre tarifas productivas para proteger el modelo actuarial.</t>
  </si>
  <si>
    <t xml:space="preserve">HU-23</t>
  </si>
  <si>
    <t xml:space="preserve">E6 - Notificaciones y siniestros</t>
  </si>
  <si>
    <t xml:space="preserve">Como asegurado quiero consultar el estado de un siniestro reportado para saber en qué va mi reclamación.</t>
  </si>
  <si>
    <t xml:space="preserve">HU-24</t>
  </si>
  <si>
    <t xml:space="preserve">Como asegurado quiero simular el impacto de ampliar mi cobertura para entender qué gano y qué pago adicional.</t>
  </si>
  <si>
    <t xml:space="preserve">Sprint 3</t>
  </si>
  <si>
    <t xml:space="preserve">Pendiente</t>
  </si>
  <si>
    <t xml:space="preserve">HU-25</t>
  </si>
  <si>
    <t xml:space="preserve">Como asegurado quiero simular el impacto de cambiar de plan para decidir con información antes de hablar con un asesor.</t>
  </si>
  <si>
    <t xml:space="preserve">HU-26</t>
  </si>
  <si>
    <t xml:space="preserve">Como asegurado quiero recibir notificaciones automáticas de vencimiento y renovación para mantener mi póliza activa.</t>
  </si>
  <si>
    <t xml:space="preserve">HU-27</t>
  </si>
  <si>
    <t xml:space="preserve">Como asegurado quiero mensajes educativos sobre prevencion de riesgos para usar mejor mi seguro.</t>
  </si>
  <si>
    <t xml:space="preserve">HU-28</t>
  </si>
  <si>
    <t xml:space="preserve">Como asegurado con baja visión quiero que la aplicación cumpla WCAG 2.1 AA para poder leer las condiciones de mi póliza.</t>
  </si>
  <si>
    <t xml:space="preserve">ST-07 SFC</t>
  </si>
  <si>
    <t xml:space="preserve">HU-29</t>
  </si>
  <si>
    <t xml:space="preserve">Como asegurado con varias pólizas quiero cambiar entre ellas para gestionar todas mis coberturas en un solo lugar.</t>
  </si>
  <si>
    <t xml:space="preserve">ST-04 Producto</t>
  </si>
  <si>
    <t xml:space="preserve">HU-30</t>
  </si>
  <si>
    <t xml:space="preserve">Como asegurado quiero reportar un siniestro desde la aplicación para no tener que llamar al canal de soporte.</t>
  </si>
  <si>
    <t xml:space="preserve">HU-31</t>
  </si>
  <si>
    <t xml:space="preserve">Como asegurado quiero descargar el clausulado completo de mi póliza para consultarlo cuando lo necesite.</t>
  </si>
  <si>
    <t xml:space="preserve">Sprint 4</t>
  </si>
  <si>
    <t xml:space="preserve">HU-32</t>
  </si>
  <si>
    <t xml:space="preserve">Como asegurado quiero renovar mi póliza desde la aplicación para no perder la cobertura por tramites.</t>
  </si>
  <si>
    <t xml:space="preserve">HU-33</t>
  </si>
  <si>
    <t xml:space="preserve">Como asegurado quiero una sección de preguntas frecuentes contextual para resolver dudas en el momento en que aparecen.</t>
  </si>
  <si>
    <t xml:space="preserve">HU-34</t>
  </si>
  <si>
    <t xml:space="preserve">Como asegurado quiero configurar como y cuando recibir notificaciones para no sentirme invadido.</t>
  </si>
  <si>
    <t xml:space="preserve">Could have</t>
  </si>
  <si>
    <t xml:space="preserve">HU-35</t>
  </si>
  <si>
    <t xml:space="preserve">Como asegurado quiero ver los datos de mi aseguradora partner y su canal de contacto para saber a quién acudir.</t>
  </si>
  <si>
    <t xml:space="preserve">ST-08 Aseguradoras partner</t>
  </si>
  <si>
    <t xml:space="preserve">HU-36</t>
  </si>
  <si>
    <t xml:space="preserve">Como área legal quiero un registro de la versión del clausulado que vio el asegurado para responder ante una reclamación.</t>
  </si>
  <si>
    <t xml:space="preserve">Sprint 5</t>
  </si>
  <si>
    <t xml:space="preserve">HU-37</t>
  </si>
  <si>
    <t xml:space="preserve">Como asegurado quiero recomendaciones personalizadas de cobertura según mi perfil para tomar mejores decisiones.</t>
  </si>
  <si>
    <t xml:space="preserve">HU-38</t>
  </si>
  <si>
    <t xml:space="preserve">Como asegurado quiero guardar y comparar varias simulaciones para decidir con calma.</t>
  </si>
  <si>
    <t xml:space="preserve">HU-39</t>
  </si>
  <si>
    <t xml:space="preserve">Como usuario externo al equipo quiero recorrer el prototipo con una guía basica para validar que se entiende sin acompañamiento.</t>
  </si>
  <si>
    <t xml:space="preserve">Sprint 6</t>
  </si>
  <si>
    <t xml:space="preserve">HU-40</t>
  </si>
  <si>
    <t xml:space="preserve">Como asegurado quiero recibir avisos del avance de mi siniestro en cada cambio de estado para no tener que preguntar.</t>
  </si>
  <si>
    <t xml:space="preserve">HU-41</t>
  </si>
  <si>
    <t xml:space="preserve">Como asegurado quiero contratar la ampliación de cobertura directamente en la aplicación.</t>
  </si>
  <si>
    <t xml:space="preserve">Won't have (MVP)</t>
  </si>
  <si>
    <t xml:space="preserve">Backlog</t>
  </si>
  <si>
    <t xml:space="preserve">HU-42</t>
  </si>
  <si>
    <t xml:space="preserve">Como asegurado quiero chatear con un asesor dentro de la aplicación.</t>
  </si>
  <si>
    <t xml:space="preserve">HU-43</t>
  </si>
  <si>
    <t xml:space="preserve">Como asegurado quiero integrar mis pólizas de otras aseguradoras no partner.</t>
  </si>
  <si>
    <t xml:space="preserve">TOTALES</t>
  </si>
  <si>
    <t xml:space="preserve">RESUMEN DE PRIORIZACIÓN</t>
  </si>
  <si>
    <t xml:space="preserve">Cantidad</t>
  </si>
  <si>
    <t xml:space="preserve">Puntos</t>
  </si>
  <si>
    <t xml:space="preserve">Historias 'Must have':</t>
  </si>
  <si>
    <t xml:space="preserve">Historias 'Should have':</t>
  </si>
  <si>
    <t xml:space="preserve">Historias 'Could have':</t>
  </si>
  <si>
    <t xml:space="preserve">Historias fuera del MVP:</t>
  </si>
  <si>
    <t xml:space="preserve">Alcance comprometido del MVP = historias 'Must have' + 'Should have'. Las 'Could have' se construyen solo si el avance lo permite y las 'Won't have' quedan documentadas como alcance futuro para evitar reclamos de cambio no gestionado.</t>
  </si>
  <si>
    <t xml:space="preserve">INDICADOR 1 - DESEMPEÑO: CUMPLIMIENTO DE SPRINT (%)</t>
  </si>
  <si>
    <t xml:space="preserve">Fórmula: C = (HC / HCO) * 100  |  HC = Historias Completadas, HCO = Historias Comprometidas  |  Meta mínima: 80%</t>
  </si>
  <si>
    <t xml:space="preserve">Los valores de HC y HCO se calculan directamente desde la hoja 'Backlog Priorizado'.</t>
  </si>
  <si>
    <t xml:space="preserve">Sprint</t>
  </si>
  <si>
    <t xml:space="preserve">Periodo</t>
  </si>
  <si>
    <t xml:space="preserve">Historias Comprometidas (HCO)</t>
  </si>
  <si>
    <t xml:space="preserve">Historias Completadas (HC)</t>
  </si>
  <si>
    <t xml:space="preserve">Cumplimiento (C%)</t>
  </si>
  <si>
    <t xml:space="preserve">Estado vs. meta 80%</t>
  </si>
  <si>
    <t xml:space="preserve">Historias no completadas</t>
  </si>
  <si>
    <t xml:space="preserve">Análisis de causa</t>
  </si>
  <si>
    <t xml:space="preserve">28 ago - 10 sep 2026</t>
  </si>
  <si>
    <t xml:space="preserve">HU-10, HU-11</t>
  </si>
  <si>
    <t xml:space="preserve">HU-10 se retrasó por la demora en contratar al consultor actuarial externo. HU-11 se despriorizó para no comprometer las historias 'Must have' del sprint.</t>
  </si>
  <si>
    <t xml:space="preserve">11 sep - 24 sep 2026</t>
  </si>
  <si>
    <t xml:space="preserve">HU-22, HU-23</t>
  </si>
  <si>
    <t xml:space="preserve">HU-22 depende del cierre de HU-10. HU-23 fue subestimada: el flujo de siniestros exige validación legal adicional que no se dimensionó al planificar.</t>
  </si>
  <si>
    <t xml:space="preserve">25 sep - 08 oct 2026</t>
  </si>
  <si>
    <t xml:space="preserve">Sprint en planificación.</t>
  </si>
  <si>
    <t xml:space="preserve">09 oct - 22 oct 2026</t>
  </si>
  <si>
    <t xml:space="preserve">23 oct - 05 nov 2026</t>
  </si>
  <si>
    <t xml:space="preserve">06 nov - 19 nov 2026</t>
  </si>
  <si>
    <t xml:space="preserve">ACUMULADO DEL PROYECTO</t>
  </si>
  <si>
    <t xml:space="preserve">CORTE SEGUIMIENTO 1 (21 al 26 de septiembre de 2026) - SPRINTS 1 Y 2</t>
  </si>
  <si>
    <t xml:space="preserve">Historias comprometidas acumuladas (HCO):</t>
  </si>
  <si>
    <t xml:space="preserve">Historias completadas acumuladas (HC):</t>
  </si>
  <si>
    <t xml:space="preserve">Cumplimiento de Sprint acumulado (C%):</t>
  </si>
  <si>
    <t xml:space="preserve">Meta mínima exigida:</t>
  </si>
  <si>
    <t xml:space="preserve">Estado del indicador:</t>
  </si>
  <si>
    <t xml:space="preserve">Acción correctiva adoptada: las cuatro historias no completadas (HU-10, HU-11, HU-22, HU-23) se trasladan al Sprint 3 como deuda del backlog. Para absorberlas sin volver a incumplir la meta, HU-30 y HU-37 se desplazan a sprints posteriores, de modo que el compromiso neto de historias nuevas del Sprint 3 se reduce en lugar de aumentar.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</si>
</sst>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E699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7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2.35" hidden="false" customHeight="false" outlineLevel="0" collapsed="false">
      <c r="A6" s="5" t="s">
        <v>14</v>
      </c>
      <c r="B6" s="6" t="s">
        <v>15</v>
      </c>
      <c r="C6" s="6" t="s">
        <v>16</v>
      </c>
      <c r="D6" s="7" t="n">
        <v>5</v>
      </c>
      <c r="E6" s="7" t="n">
        <v>3</v>
      </c>
      <c r="F6" s="8" t="n">
        <f aca="false">D6/E6</f>
        <v>1.66666666666667</v>
      </c>
      <c r="G6" s="9" t="s">
        <v>17</v>
      </c>
      <c r="H6" s="10" t="n">
        <f aca="false">RANK(F6,$F$6:$F$48,0)</f>
        <v>2</v>
      </c>
      <c r="I6" s="10" t="s">
        <v>18</v>
      </c>
      <c r="J6" s="11" t="s">
        <v>19</v>
      </c>
      <c r="K6" s="6" t="s">
        <v>20</v>
      </c>
    </row>
    <row r="7" customFormat="false" ht="22.35" hidden="false" customHeight="false" outlineLevel="0" collapsed="false">
      <c r="A7" s="5" t="s">
        <v>21</v>
      </c>
      <c r="B7" s="6" t="s">
        <v>15</v>
      </c>
      <c r="C7" s="6" t="s">
        <v>22</v>
      </c>
      <c r="D7" s="7" t="n">
        <v>5</v>
      </c>
      <c r="E7" s="7" t="n">
        <v>3</v>
      </c>
      <c r="F7" s="8" t="n">
        <f aca="false">D7/E7</f>
        <v>1.66666666666667</v>
      </c>
      <c r="G7" s="9" t="s">
        <v>17</v>
      </c>
      <c r="H7" s="10" t="n">
        <f aca="false">RANK(F7,$F$6:$F$48,0)</f>
        <v>2</v>
      </c>
      <c r="I7" s="10" t="s">
        <v>18</v>
      </c>
      <c r="J7" s="11" t="s">
        <v>19</v>
      </c>
      <c r="K7" s="6" t="s">
        <v>23</v>
      </c>
    </row>
    <row r="8" customFormat="false" ht="22.35" hidden="false" customHeight="false" outlineLevel="0" collapsed="false">
      <c r="A8" s="5" t="s">
        <v>24</v>
      </c>
      <c r="B8" s="6" t="s">
        <v>15</v>
      </c>
      <c r="C8" s="6" t="s">
        <v>25</v>
      </c>
      <c r="D8" s="7" t="n">
        <v>5</v>
      </c>
      <c r="E8" s="7" t="n">
        <v>5</v>
      </c>
      <c r="F8" s="8" t="n">
        <f aca="false">D8/E8</f>
        <v>1</v>
      </c>
      <c r="G8" s="9" t="s">
        <v>17</v>
      </c>
      <c r="H8" s="10" t="n">
        <f aca="false">RANK(F8,$F$6:$F$48,0)</f>
        <v>11</v>
      </c>
      <c r="I8" s="10" t="s">
        <v>18</v>
      </c>
      <c r="J8" s="11" t="s">
        <v>19</v>
      </c>
      <c r="K8" s="6" t="s">
        <v>20</v>
      </c>
    </row>
    <row r="9" customFormat="false" ht="22.35" hidden="false" customHeight="false" outlineLevel="0" collapsed="false">
      <c r="A9" s="5" t="s">
        <v>26</v>
      </c>
      <c r="B9" s="6" t="s">
        <v>15</v>
      </c>
      <c r="C9" s="6" t="s">
        <v>27</v>
      </c>
      <c r="D9" s="7" t="n">
        <v>5</v>
      </c>
      <c r="E9" s="7" t="n">
        <v>5</v>
      </c>
      <c r="F9" s="8" t="n">
        <f aca="false">D9/E9</f>
        <v>1</v>
      </c>
      <c r="G9" s="9" t="s">
        <v>17</v>
      </c>
      <c r="H9" s="10" t="n">
        <f aca="false">RANK(F9,$F$6:$F$48,0)</f>
        <v>11</v>
      </c>
      <c r="I9" s="10" t="s">
        <v>18</v>
      </c>
      <c r="J9" s="11" t="s">
        <v>19</v>
      </c>
      <c r="K9" s="6" t="s">
        <v>20</v>
      </c>
    </row>
    <row r="10" customFormat="false" ht="22.35" hidden="false" customHeight="false" outlineLevel="0" collapsed="false">
      <c r="A10" s="5" t="s">
        <v>28</v>
      </c>
      <c r="B10" s="6" t="s">
        <v>15</v>
      </c>
      <c r="C10" s="6" t="s">
        <v>29</v>
      </c>
      <c r="D10" s="7" t="n">
        <v>4</v>
      </c>
      <c r="E10" s="7" t="n">
        <v>2</v>
      </c>
      <c r="F10" s="8" t="n">
        <f aca="false">D10/E10</f>
        <v>2</v>
      </c>
      <c r="G10" s="9" t="s">
        <v>17</v>
      </c>
      <c r="H10" s="10" t="n">
        <f aca="false">RANK(F10,$F$6:$F$48,0)</f>
        <v>1</v>
      </c>
      <c r="I10" s="10" t="s">
        <v>18</v>
      </c>
      <c r="J10" s="11" t="s">
        <v>19</v>
      </c>
      <c r="K10" s="6" t="s">
        <v>23</v>
      </c>
    </row>
    <row r="11" customFormat="false" ht="22.35" hidden="false" customHeight="false" outlineLevel="0" collapsed="false">
      <c r="A11" s="5" t="s">
        <v>30</v>
      </c>
      <c r="B11" s="6" t="s">
        <v>31</v>
      </c>
      <c r="C11" s="6" t="s">
        <v>32</v>
      </c>
      <c r="D11" s="7" t="n">
        <v>5</v>
      </c>
      <c r="E11" s="7" t="n">
        <v>3</v>
      </c>
      <c r="F11" s="8" t="n">
        <f aca="false">D11/E11</f>
        <v>1.66666666666667</v>
      </c>
      <c r="G11" s="9" t="s">
        <v>17</v>
      </c>
      <c r="H11" s="10" t="n">
        <f aca="false">RANK(F11,$F$6:$F$48,0)</f>
        <v>2</v>
      </c>
      <c r="I11" s="10" t="s">
        <v>18</v>
      </c>
      <c r="J11" s="11" t="s">
        <v>19</v>
      </c>
      <c r="K11" s="6" t="s">
        <v>33</v>
      </c>
    </row>
    <row r="12" customFormat="false" ht="22.35" hidden="false" customHeight="false" outlineLevel="0" collapsed="false">
      <c r="A12" s="5" t="s">
        <v>34</v>
      </c>
      <c r="B12" s="6" t="s">
        <v>35</v>
      </c>
      <c r="C12" s="6" t="s">
        <v>36</v>
      </c>
      <c r="D12" s="7" t="n">
        <v>5</v>
      </c>
      <c r="E12" s="7" t="n">
        <v>5</v>
      </c>
      <c r="F12" s="8" t="n">
        <f aca="false">D12/E12</f>
        <v>1</v>
      </c>
      <c r="G12" s="9" t="s">
        <v>17</v>
      </c>
      <c r="H12" s="10" t="n">
        <f aca="false">RANK(F12,$F$6:$F$48,0)</f>
        <v>11</v>
      </c>
      <c r="I12" s="10" t="s">
        <v>18</v>
      </c>
      <c r="J12" s="11" t="s">
        <v>19</v>
      </c>
      <c r="K12" s="6" t="s">
        <v>37</v>
      </c>
    </row>
    <row r="13" customFormat="false" ht="22.35" hidden="false" customHeight="false" outlineLevel="0" collapsed="false">
      <c r="A13" s="5" t="s">
        <v>38</v>
      </c>
      <c r="B13" s="6" t="s">
        <v>35</v>
      </c>
      <c r="C13" s="6" t="s">
        <v>39</v>
      </c>
      <c r="D13" s="7" t="n">
        <v>5</v>
      </c>
      <c r="E13" s="7" t="n">
        <v>3</v>
      </c>
      <c r="F13" s="8" t="n">
        <f aca="false">D13/E13</f>
        <v>1.66666666666667</v>
      </c>
      <c r="G13" s="9" t="s">
        <v>17</v>
      </c>
      <c r="H13" s="10" t="n">
        <f aca="false">RANK(F13,$F$6:$F$48,0)</f>
        <v>2</v>
      </c>
      <c r="I13" s="10" t="s">
        <v>18</v>
      </c>
      <c r="J13" s="11" t="s">
        <v>19</v>
      </c>
      <c r="K13" s="6" t="s">
        <v>37</v>
      </c>
    </row>
    <row r="14" customFormat="false" ht="22.35" hidden="false" customHeight="false" outlineLevel="0" collapsed="false">
      <c r="A14" s="5" t="s">
        <v>40</v>
      </c>
      <c r="B14" s="6" t="s">
        <v>15</v>
      </c>
      <c r="C14" s="6" t="s">
        <v>41</v>
      </c>
      <c r="D14" s="7" t="n">
        <v>5</v>
      </c>
      <c r="E14" s="7" t="n">
        <v>3</v>
      </c>
      <c r="F14" s="8" t="n">
        <f aca="false">D14/E14</f>
        <v>1.66666666666667</v>
      </c>
      <c r="G14" s="9" t="s">
        <v>17</v>
      </c>
      <c r="H14" s="10" t="n">
        <f aca="false">RANK(F14,$F$6:$F$48,0)</f>
        <v>2</v>
      </c>
      <c r="I14" s="10" t="s">
        <v>18</v>
      </c>
      <c r="J14" s="11" t="s">
        <v>19</v>
      </c>
      <c r="K14" s="6" t="s">
        <v>42</v>
      </c>
    </row>
    <row r="15" customFormat="false" ht="22.35" hidden="false" customHeight="false" outlineLevel="0" collapsed="false">
      <c r="A15" s="5" t="s">
        <v>43</v>
      </c>
      <c r="B15" s="6" t="s">
        <v>44</v>
      </c>
      <c r="C15" s="6" t="s">
        <v>45</v>
      </c>
      <c r="D15" s="7" t="n">
        <v>5</v>
      </c>
      <c r="E15" s="7" t="n">
        <v>3</v>
      </c>
      <c r="F15" s="8" t="n">
        <f aca="false">D15/E15</f>
        <v>1.66666666666667</v>
      </c>
      <c r="G15" s="9" t="s">
        <v>17</v>
      </c>
      <c r="H15" s="10" t="n">
        <f aca="false">RANK(F15,$F$6:$F$48,0)</f>
        <v>2</v>
      </c>
      <c r="I15" s="10" t="s">
        <v>18</v>
      </c>
      <c r="J15" s="9" t="s">
        <v>46</v>
      </c>
      <c r="K15" s="6" t="s">
        <v>47</v>
      </c>
    </row>
    <row r="16" customFormat="false" ht="22.35" hidden="false" customHeight="false" outlineLevel="0" collapsed="false">
      <c r="A16" s="5" t="s">
        <v>48</v>
      </c>
      <c r="B16" s="6" t="s">
        <v>35</v>
      </c>
      <c r="C16" s="6" t="s">
        <v>49</v>
      </c>
      <c r="D16" s="7" t="n">
        <v>3</v>
      </c>
      <c r="E16" s="7" t="n">
        <v>5</v>
      </c>
      <c r="F16" s="8" t="n">
        <f aca="false">D16/E16</f>
        <v>0.6</v>
      </c>
      <c r="G16" s="12" t="s">
        <v>50</v>
      </c>
      <c r="H16" s="10" t="n">
        <f aca="false">RANK(F16,$F$6:$F$48,0)</f>
        <v>29</v>
      </c>
      <c r="I16" s="10" t="s">
        <v>18</v>
      </c>
      <c r="J16" s="9" t="s">
        <v>46</v>
      </c>
      <c r="K16" s="6" t="s">
        <v>37</v>
      </c>
    </row>
    <row r="17" customFormat="false" ht="22.35" hidden="false" customHeight="false" outlineLevel="0" collapsed="false">
      <c r="A17" s="5" t="s">
        <v>51</v>
      </c>
      <c r="B17" s="6" t="s">
        <v>44</v>
      </c>
      <c r="C17" s="6" t="s">
        <v>52</v>
      </c>
      <c r="D17" s="7" t="n">
        <v>5</v>
      </c>
      <c r="E17" s="7" t="n">
        <v>8</v>
      </c>
      <c r="F17" s="8" t="n">
        <f aca="false">D17/E17</f>
        <v>0.625</v>
      </c>
      <c r="G17" s="9" t="s">
        <v>17</v>
      </c>
      <c r="H17" s="10" t="n">
        <f aca="false">RANK(F17,$F$6:$F$48,0)</f>
        <v>24</v>
      </c>
      <c r="I17" s="10" t="s">
        <v>53</v>
      </c>
      <c r="J17" s="11" t="s">
        <v>19</v>
      </c>
      <c r="K17" s="6" t="s">
        <v>37</v>
      </c>
    </row>
    <row r="18" customFormat="false" ht="22.35" hidden="false" customHeight="false" outlineLevel="0" collapsed="false">
      <c r="A18" s="5" t="s">
        <v>54</v>
      </c>
      <c r="B18" s="6" t="s">
        <v>44</v>
      </c>
      <c r="C18" s="6" t="s">
        <v>55</v>
      </c>
      <c r="D18" s="7" t="n">
        <v>5</v>
      </c>
      <c r="E18" s="7" t="n">
        <v>8</v>
      </c>
      <c r="F18" s="8" t="n">
        <f aca="false">D18/E18</f>
        <v>0.625</v>
      </c>
      <c r="G18" s="9" t="s">
        <v>17</v>
      </c>
      <c r="H18" s="10" t="n">
        <f aca="false">RANK(F18,$F$6:$F$48,0)</f>
        <v>24</v>
      </c>
      <c r="I18" s="10" t="s">
        <v>53</v>
      </c>
      <c r="J18" s="11" t="s">
        <v>19</v>
      </c>
      <c r="K18" s="6" t="s">
        <v>33</v>
      </c>
    </row>
    <row r="19" customFormat="false" ht="22.35" hidden="false" customHeight="false" outlineLevel="0" collapsed="false">
      <c r="A19" s="5" t="s">
        <v>56</v>
      </c>
      <c r="B19" s="6" t="s">
        <v>44</v>
      </c>
      <c r="C19" s="6" t="s">
        <v>57</v>
      </c>
      <c r="D19" s="7" t="n">
        <v>5</v>
      </c>
      <c r="E19" s="7" t="n">
        <v>5</v>
      </c>
      <c r="F19" s="8" t="n">
        <f aca="false">D19/E19</f>
        <v>1</v>
      </c>
      <c r="G19" s="9" t="s">
        <v>17</v>
      </c>
      <c r="H19" s="10" t="n">
        <f aca="false">RANK(F19,$F$6:$F$48,0)</f>
        <v>11</v>
      </c>
      <c r="I19" s="10" t="s">
        <v>53</v>
      </c>
      <c r="J19" s="11" t="s">
        <v>19</v>
      </c>
      <c r="K19" s="6" t="s">
        <v>58</v>
      </c>
    </row>
    <row r="20" customFormat="false" ht="15" hidden="false" customHeight="false" outlineLevel="0" collapsed="false">
      <c r="A20" s="5" t="s">
        <v>59</v>
      </c>
      <c r="B20" s="6" t="s">
        <v>60</v>
      </c>
      <c r="C20" s="6" t="s">
        <v>61</v>
      </c>
      <c r="D20" s="7" t="n">
        <v>5</v>
      </c>
      <c r="E20" s="7" t="n">
        <v>3</v>
      </c>
      <c r="F20" s="8" t="n">
        <f aca="false">D20/E20</f>
        <v>1.66666666666667</v>
      </c>
      <c r="G20" s="9" t="s">
        <v>17</v>
      </c>
      <c r="H20" s="10" t="n">
        <f aca="false">RANK(F20,$F$6:$F$48,0)</f>
        <v>2</v>
      </c>
      <c r="I20" s="10" t="s">
        <v>53</v>
      </c>
      <c r="J20" s="11" t="s">
        <v>19</v>
      </c>
      <c r="K20" s="6" t="s">
        <v>37</v>
      </c>
    </row>
    <row r="21" customFormat="false" ht="15" hidden="false" customHeight="false" outlineLevel="0" collapsed="false">
      <c r="A21" s="5" t="s">
        <v>62</v>
      </c>
      <c r="B21" s="6" t="s">
        <v>60</v>
      </c>
      <c r="C21" s="6" t="s">
        <v>63</v>
      </c>
      <c r="D21" s="7" t="n">
        <v>5</v>
      </c>
      <c r="E21" s="7" t="n">
        <v>5</v>
      </c>
      <c r="F21" s="8" t="n">
        <f aca="false">D21/E21</f>
        <v>1</v>
      </c>
      <c r="G21" s="9" t="s">
        <v>17</v>
      </c>
      <c r="H21" s="10" t="n">
        <f aca="false">RANK(F21,$F$6:$F$48,0)</f>
        <v>11</v>
      </c>
      <c r="I21" s="10" t="s">
        <v>53</v>
      </c>
      <c r="J21" s="11" t="s">
        <v>19</v>
      </c>
      <c r="K21" s="6" t="s">
        <v>64</v>
      </c>
    </row>
    <row r="22" customFormat="false" ht="22.35" hidden="false" customHeight="false" outlineLevel="0" collapsed="false">
      <c r="A22" s="5" t="s">
        <v>65</v>
      </c>
      <c r="B22" s="6" t="s">
        <v>31</v>
      </c>
      <c r="C22" s="6" t="s">
        <v>66</v>
      </c>
      <c r="D22" s="7" t="n">
        <v>5</v>
      </c>
      <c r="E22" s="7" t="n">
        <v>5</v>
      </c>
      <c r="F22" s="8" t="n">
        <f aca="false">D22/E22</f>
        <v>1</v>
      </c>
      <c r="G22" s="9" t="s">
        <v>17</v>
      </c>
      <c r="H22" s="10" t="n">
        <f aca="false">RANK(F22,$F$6:$F$48,0)</f>
        <v>11</v>
      </c>
      <c r="I22" s="10" t="s">
        <v>53</v>
      </c>
      <c r="J22" s="11" t="s">
        <v>19</v>
      </c>
      <c r="K22" s="6" t="s">
        <v>33</v>
      </c>
    </row>
    <row r="23" customFormat="false" ht="22.35" hidden="false" customHeight="false" outlineLevel="0" collapsed="false">
      <c r="A23" s="5" t="s">
        <v>67</v>
      </c>
      <c r="B23" s="6" t="s">
        <v>15</v>
      </c>
      <c r="C23" s="6" t="s">
        <v>68</v>
      </c>
      <c r="D23" s="7" t="n">
        <v>5</v>
      </c>
      <c r="E23" s="7" t="n">
        <v>5</v>
      </c>
      <c r="F23" s="8" t="n">
        <f aca="false">D23/E23</f>
        <v>1</v>
      </c>
      <c r="G23" s="9" t="s">
        <v>17</v>
      </c>
      <c r="H23" s="10" t="n">
        <f aca="false">RANK(F23,$F$6:$F$48,0)</f>
        <v>11</v>
      </c>
      <c r="I23" s="10" t="s">
        <v>53</v>
      </c>
      <c r="J23" s="11" t="s">
        <v>19</v>
      </c>
      <c r="K23" s="6" t="s">
        <v>23</v>
      </c>
    </row>
    <row r="24" customFormat="false" ht="22.35" hidden="false" customHeight="false" outlineLevel="0" collapsed="false">
      <c r="A24" s="5" t="s">
        <v>69</v>
      </c>
      <c r="B24" s="6" t="s">
        <v>15</v>
      </c>
      <c r="C24" s="6" t="s">
        <v>70</v>
      </c>
      <c r="D24" s="7" t="n">
        <v>5</v>
      </c>
      <c r="E24" s="7" t="n">
        <v>3</v>
      </c>
      <c r="F24" s="8" t="n">
        <f aca="false">D24/E24</f>
        <v>1.66666666666667</v>
      </c>
      <c r="G24" s="9" t="s">
        <v>17</v>
      </c>
      <c r="H24" s="10" t="n">
        <f aca="false">RANK(F24,$F$6:$F$48,0)</f>
        <v>2</v>
      </c>
      <c r="I24" s="10" t="s">
        <v>53</v>
      </c>
      <c r="J24" s="11" t="s">
        <v>19</v>
      </c>
      <c r="K24" s="6" t="s">
        <v>42</v>
      </c>
    </row>
    <row r="25" customFormat="false" ht="22.35" hidden="false" customHeight="false" outlineLevel="0" collapsed="false">
      <c r="A25" s="5" t="s">
        <v>71</v>
      </c>
      <c r="B25" s="6" t="s">
        <v>44</v>
      </c>
      <c r="C25" s="6" t="s">
        <v>72</v>
      </c>
      <c r="D25" s="7" t="n">
        <v>4</v>
      </c>
      <c r="E25" s="7" t="n">
        <v>5</v>
      </c>
      <c r="F25" s="8" t="n">
        <f aca="false">D25/E25</f>
        <v>0.8</v>
      </c>
      <c r="G25" s="12" t="s">
        <v>50</v>
      </c>
      <c r="H25" s="10" t="n">
        <f aca="false">RANK(F25,$F$6:$F$48,0)</f>
        <v>21</v>
      </c>
      <c r="I25" s="10" t="s">
        <v>53</v>
      </c>
      <c r="J25" s="11" t="s">
        <v>19</v>
      </c>
      <c r="K25" s="6" t="s">
        <v>64</v>
      </c>
    </row>
    <row r="26" customFormat="false" ht="22.35" hidden="false" customHeight="false" outlineLevel="0" collapsed="false">
      <c r="A26" s="5" t="s">
        <v>73</v>
      </c>
      <c r="B26" s="6" t="s">
        <v>74</v>
      </c>
      <c r="C26" s="6" t="s">
        <v>75</v>
      </c>
      <c r="D26" s="7" t="n">
        <v>4</v>
      </c>
      <c r="E26" s="7" t="n">
        <v>3</v>
      </c>
      <c r="F26" s="8" t="n">
        <f aca="false">D26/E26</f>
        <v>1.33333333333333</v>
      </c>
      <c r="G26" s="12" t="s">
        <v>50</v>
      </c>
      <c r="H26" s="10" t="n">
        <f aca="false">RANK(F26,$F$6:$F$48,0)</f>
        <v>10</v>
      </c>
      <c r="I26" s="10" t="s">
        <v>53</v>
      </c>
      <c r="J26" s="11" t="s">
        <v>19</v>
      </c>
      <c r="K26" s="6" t="s">
        <v>58</v>
      </c>
    </row>
    <row r="27" customFormat="false" ht="22.35" hidden="false" customHeight="false" outlineLevel="0" collapsed="false">
      <c r="A27" s="5" t="s">
        <v>76</v>
      </c>
      <c r="B27" s="6" t="s">
        <v>77</v>
      </c>
      <c r="C27" s="6" t="s">
        <v>78</v>
      </c>
      <c r="D27" s="7" t="n">
        <v>5</v>
      </c>
      <c r="E27" s="7" t="n">
        <v>8</v>
      </c>
      <c r="F27" s="8" t="n">
        <f aca="false">D27/E27</f>
        <v>0.625</v>
      </c>
      <c r="G27" s="9" t="s">
        <v>17</v>
      </c>
      <c r="H27" s="10" t="n">
        <f aca="false">RANK(F27,$F$6:$F$48,0)</f>
        <v>24</v>
      </c>
      <c r="I27" s="10" t="s">
        <v>53</v>
      </c>
      <c r="J27" s="9" t="s">
        <v>46</v>
      </c>
      <c r="K27" s="6" t="s">
        <v>47</v>
      </c>
    </row>
    <row r="28" customFormat="false" ht="22.35" hidden="false" customHeight="false" outlineLevel="0" collapsed="false">
      <c r="A28" s="5" t="s">
        <v>79</v>
      </c>
      <c r="B28" s="6" t="s">
        <v>80</v>
      </c>
      <c r="C28" s="6" t="s">
        <v>81</v>
      </c>
      <c r="D28" s="7" t="n">
        <v>5</v>
      </c>
      <c r="E28" s="7" t="n">
        <v>8</v>
      </c>
      <c r="F28" s="8" t="n">
        <f aca="false">D28/E28</f>
        <v>0.625</v>
      </c>
      <c r="G28" s="9" t="s">
        <v>17</v>
      </c>
      <c r="H28" s="10" t="n">
        <f aca="false">RANK(F28,$F$6:$F$48,0)</f>
        <v>24</v>
      </c>
      <c r="I28" s="10" t="s">
        <v>53</v>
      </c>
      <c r="J28" s="9" t="s">
        <v>46</v>
      </c>
      <c r="K28" s="6" t="s">
        <v>37</v>
      </c>
    </row>
    <row r="29" customFormat="false" ht="22.35" hidden="false" customHeight="false" outlineLevel="0" collapsed="false">
      <c r="A29" s="5" t="s">
        <v>82</v>
      </c>
      <c r="B29" s="6" t="s">
        <v>77</v>
      </c>
      <c r="C29" s="6" t="s">
        <v>83</v>
      </c>
      <c r="D29" s="7" t="n">
        <v>5</v>
      </c>
      <c r="E29" s="7" t="n">
        <v>13</v>
      </c>
      <c r="F29" s="8" t="n">
        <f aca="false">D29/E29</f>
        <v>0.384615384615385</v>
      </c>
      <c r="G29" s="9" t="s">
        <v>17</v>
      </c>
      <c r="H29" s="10" t="n">
        <f aca="false">RANK(F29,$F$6:$F$48,0)</f>
        <v>35</v>
      </c>
      <c r="I29" s="10" t="s">
        <v>84</v>
      </c>
      <c r="J29" s="13" t="s">
        <v>85</v>
      </c>
      <c r="K29" s="6" t="s">
        <v>64</v>
      </c>
    </row>
    <row r="30" customFormat="false" ht="22.35" hidden="false" customHeight="false" outlineLevel="0" collapsed="false">
      <c r="A30" s="5" t="s">
        <v>86</v>
      </c>
      <c r="B30" s="6" t="s">
        <v>77</v>
      </c>
      <c r="C30" s="6" t="s">
        <v>87</v>
      </c>
      <c r="D30" s="7" t="n">
        <v>5</v>
      </c>
      <c r="E30" s="7" t="n">
        <v>13</v>
      </c>
      <c r="F30" s="8" t="n">
        <f aca="false">D30/E30</f>
        <v>0.384615384615385</v>
      </c>
      <c r="G30" s="9" t="s">
        <v>17</v>
      </c>
      <c r="H30" s="10" t="n">
        <f aca="false">RANK(F30,$F$6:$F$48,0)</f>
        <v>35</v>
      </c>
      <c r="I30" s="10" t="s">
        <v>84</v>
      </c>
      <c r="J30" s="13" t="s">
        <v>85</v>
      </c>
      <c r="K30" s="6" t="s">
        <v>64</v>
      </c>
    </row>
    <row r="31" customFormat="false" ht="22.35" hidden="false" customHeight="false" outlineLevel="0" collapsed="false">
      <c r="A31" s="5" t="s">
        <v>88</v>
      </c>
      <c r="B31" s="6" t="s">
        <v>80</v>
      </c>
      <c r="C31" s="6" t="s">
        <v>89</v>
      </c>
      <c r="D31" s="7" t="n">
        <v>5</v>
      </c>
      <c r="E31" s="7" t="n">
        <v>8</v>
      </c>
      <c r="F31" s="8" t="n">
        <f aca="false">D31/E31</f>
        <v>0.625</v>
      </c>
      <c r="G31" s="9" t="s">
        <v>17</v>
      </c>
      <c r="H31" s="10" t="n">
        <f aca="false">RANK(F31,$F$6:$F$48,0)</f>
        <v>24</v>
      </c>
      <c r="I31" s="10" t="s">
        <v>84</v>
      </c>
      <c r="J31" s="13" t="s">
        <v>85</v>
      </c>
      <c r="K31" s="6" t="s">
        <v>64</v>
      </c>
    </row>
    <row r="32" customFormat="false" ht="15" hidden="false" customHeight="false" outlineLevel="0" collapsed="false">
      <c r="A32" s="5" t="s">
        <v>90</v>
      </c>
      <c r="B32" s="6" t="s">
        <v>74</v>
      </c>
      <c r="C32" s="6" t="s">
        <v>91</v>
      </c>
      <c r="D32" s="7" t="n">
        <v>4</v>
      </c>
      <c r="E32" s="7" t="n">
        <v>5</v>
      </c>
      <c r="F32" s="8" t="n">
        <f aca="false">D32/E32</f>
        <v>0.8</v>
      </c>
      <c r="G32" s="12" t="s">
        <v>50</v>
      </c>
      <c r="H32" s="10" t="n">
        <f aca="false">RANK(F32,$F$6:$F$48,0)</f>
        <v>21</v>
      </c>
      <c r="I32" s="10" t="s">
        <v>84</v>
      </c>
      <c r="J32" s="13" t="s">
        <v>85</v>
      </c>
      <c r="K32" s="6" t="s">
        <v>58</v>
      </c>
    </row>
    <row r="33" customFormat="false" ht="22.35" hidden="false" customHeight="false" outlineLevel="0" collapsed="false">
      <c r="A33" s="5" t="s">
        <v>92</v>
      </c>
      <c r="B33" s="6" t="s">
        <v>31</v>
      </c>
      <c r="C33" s="6" t="s">
        <v>93</v>
      </c>
      <c r="D33" s="7" t="n">
        <v>4</v>
      </c>
      <c r="E33" s="7" t="n">
        <v>8</v>
      </c>
      <c r="F33" s="8" t="n">
        <f aca="false">D33/E33</f>
        <v>0.5</v>
      </c>
      <c r="G33" s="9" t="s">
        <v>17</v>
      </c>
      <c r="H33" s="10" t="n">
        <f aca="false">RANK(F33,$F$6:$F$48,0)</f>
        <v>32</v>
      </c>
      <c r="I33" s="10" t="s">
        <v>84</v>
      </c>
      <c r="J33" s="13" t="s">
        <v>85</v>
      </c>
      <c r="K33" s="6" t="s">
        <v>94</v>
      </c>
    </row>
    <row r="34" customFormat="false" ht="22.35" hidden="false" customHeight="false" outlineLevel="0" collapsed="false">
      <c r="A34" s="5" t="s">
        <v>95</v>
      </c>
      <c r="B34" s="6" t="s">
        <v>35</v>
      </c>
      <c r="C34" s="6" t="s">
        <v>96</v>
      </c>
      <c r="D34" s="7" t="n">
        <v>4</v>
      </c>
      <c r="E34" s="7" t="n">
        <v>5</v>
      </c>
      <c r="F34" s="8" t="n">
        <f aca="false">D34/E34</f>
        <v>0.8</v>
      </c>
      <c r="G34" s="12" t="s">
        <v>50</v>
      </c>
      <c r="H34" s="10" t="n">
        <f aca="false">RANK(F34,$F$6:$F$48,0)</f>
        <v>21</v>
      </c>
      <c r="I34" s="10" t="s">
        <v>84</v>
      </c>
      <c r="J34" s="13" t="s">
        <v>85</v>
      </c>
      <c r="K34" s="6" t="s">
        <v>97</v>
      </c>
    </row>
    <row r="35" customFormat="false" ht="22.35" hidden="false" customHeight="false" outlineLevel="0" collapsed="false">
      <c r="A35" s="5" t="s">
        <v>98</v>
      </c>
      <c r="B35" s="6" t="s">
        <v>80</v>
      </c>
      <c r="C35" s="6" t="s">
        <v>99</v>
      </c>
      <c r="D35" s="7" t="n">
        <v>4</v>
      </c>
      <c r="E35" s="7" t="n">
        <v>13</v>
      </c>
      <c r="F35" s="8" t="n">
        <f aca="false">D35/E35</f>
        <v>0.307692307692308</v>
      </c>
      <c r="G35" s="12" t="s">
        <v>50</v>
      </c>
      <c r="H35" s="10" t="n">
        <f aca="false">RANK(F35,$F$6:$F$48,0)</f>
        <v>38</v>
      </c>
      <c r="I35" s="10" t="s">
        <v>84</v>
      </c>
      <c r="J35" s="13" t="s">
        <v>85</v>
      </c>
      <c r="K35" s="6" t="s">
        <v>58</v>
      </c>
    </row>
    <row r="36" customFormat="false" ht="22.35" hidden="false" customHeight="false" outlineLevel="0" collapsed="false">
      <c r="A36" s="5" t="s">
        <v>100</v>
      </c>
      <c r="B36" s="6" t="s">
        <v>44</v>
      </c>
      <c r="C36" s="6" t="s">
        <v>101</v>
      </c>
      <c r="D36" s="7" t="n">
        <v>3</v>
      </c>
      <c r="E36" s="7" t="n">
        <v>3</v>
      </c>
      <c r="F36" s="8" t="n">
        <f aca="false">D36/E36</f>
        <v>1</v>
      </c>
      <c r="G36" s="12" t="s">
        <v>50</v>
      </c>
      <c r="H36" s="10" t="n">
        <f aca="false">RANK(F36,$F$6:$F$48,0)</f>
        <v>11</v>
      </c>
      <c r="I36" s="10" t="s">
        <v>102</v>
      </c>
      <c r="J36" s="13" t="s">
        <v>85</v>
      </c>
      <c r="K36" s="6" t="s">
        <v>33</v>
      </c>
    </row>
    <row r="37" customFormat="false" ht="15" hidden="false" customHeight="false" outlineLevel="0" collapsed="false">
      <c r="A37" s="5" t="s">
        <v>103</v>
      </c>
      <c r="B37" s="6" t="s">
        <v>60</v>
      </c>
      <c r="C37" s="6" t="s">
        <v>104</v>
      </c>
      <c r="D37" s="7" t="n">
        <v>5</v>
      </c>
      <c r="E37" s="7" t="n">
        <v>13</v>
      </c>
      <c r="F37" s="8" t="n">
        <f aca="false">D37/E37</f>
        <v>0.384615384615385</v>
      </c>
      <c r="G37" s="12" t="s">
        <v>50</v>
      </c>
      <c r="H37" s="10" t="n">
        <f aca="false">RANK(F37,$F$6:$F$48,0)</f>
        <v>35</v>
      </c>
      <c r="I37" s="10" t="s">
        <v>102</v>
      </c>
      <c r="J37" s="13" t="s">
        <v>85</v>
      </c>
      <c r="K37" s="6" t="s">
        <v>64</v>
      </c>
    </row>
    <row r="38" customFormat="false" ht="22.35" hidden="false" customHeight="false" outlineLevel="0" collapsed="false">
      <c r="A38" s="5" t="s">
        <v>105</v>
      </c>
      <c r="B38" s="6" t="s">
        <v>74</v>
      </c>
      <c r="C38" s="6" t="s">
        <v>106</v>
      </c>
      <c r="D38" s="7" t="n">
        <v>3</v>
      </c>
      <c r="E38" s="7" t="n">
        <v>5</v>
      </c>
      <c r="F38" s="8" t="n">
        <f aca="false">D38/E38</f>
        <v>0.6</v>
      </c>
      <c r="G38" s="12" t="s">
        <v>50</v>
      </c>
      <c r="H38" s="10" t="n">
        <f aca="false">RANK(F38,$F$6:$F$48,0)</f>
        <v>29</v>
      </c>
      <c r="I38" s="10" t="s">
        <v>102</v>
      </c>
      <c r="J38" s="13" t="s">
        <v>85</v>
      </c>
      <c r="K38" s="6" t="s">
        <v>58</v>
      </c>
    </row>
    <row r="39" customFormat="false" ht="15" hidden="false" customHeight="false" outlineLevel="0" collapsed="false">
      <c r="A39" s="5" t="s">
        <v>107</v>
      </c>
      <c r="B39" s="6" t="s">
        <v>80</v>
      </c>
      <c r="C39" s="6" t="s">
        <v>108</v>
      </c>
      <c r="D39" s="7" t="n">
        <v>3</v>
      </c>
      <c r="E39" s="7" t="n">
        <v>5</v>
      </c>
      <c r="F39" s="8" t="n">
        <f aca="false">D39/E39</f>
        <v>0.6</v>
      </c>
      <c r="G39" s="14" t="s">
        <v>109</v>
      </c>
      <c r="H39" s="10" t="n">
        <f aca="false">RANK(F39,$F$6:$F$48,0)</f>
        <v>29</v>
      </c>
      <c r="I39" s="10" t="s">
        <v>102</v>
      </c>
      <c r="J39" s="13" t="s">
        <v>85</v>
      </c>
      <c r="K39" s="6" t="s">
        <v>37</v>
      </c>
    </row>
    <row r="40" customFormat="false" ht="22.35" hidden="false" customHeight="false" outlineLevel="0" collapsed="false">
      <c r="A40" s="5" t="s">
        <v>110</v>
      </c>
      <c r="B40" s="6" t="s">
        <v>35</v>
      </c>
      <c r="C40" s="6" t="s">
        <v>111</v>
      </c>
      <c r="D40" s="7" t="n">
        <v>3</v>
      </c>
      <c r="E40" s="7" t="n">
        <v>3</v>
      </c>
      <c r="F40" s="8" t="n">
        <f aca="false">D40/E40</f>
        <v>1</v>
      </c>
      <c r="G40" s="14" t="s">
        <v>109</v>
      </c>
      <c r="H40" s="10" t="n">
        <f aca="false">RANK(F40,$F$6:$F$48,0)</f>
        <v>11</v>
      </c>
      <c r="I40" s="10" t="s">
        <v>102</v>
      </c>
      <c r="J40" s="13" t="s">
        <v>85</v>
      </c>
      <c r="K40" s="6" t="s">
        <v>112</v>
      </c>
    </row>
    <row r="41" customFormat="false" ht="22.35" hidden="false" customHeight="false" outlineLevel="0" collapsed="false">
      <c r="A41" s="5" t="s">
        <v>113</v>
      </c>
      <c r="B41" s="6" t="s">
        <v>31</v>
      </c>
      <c r="C41" s="6" t="s">
        <v>114</v>
      </c>
      <c r="D41" s="7" t="n">
        <v>4</v>
      </c>
      <c r="E41" s="7" t="n">
        <v>8</v>
      </c>
      <c r="F41" s="8" t="n">
        <f aca="false">D41/E41</f>
        <v>0.5</v>
      </c>
      <c r="G41" s="12" t="s">
        <v>50</v>
      </c>
      <c r="H41" s="10" t="n">
        <f aca="false">RANK(F41,$F$6:$F$48,0)</f>
        <v>32</v>
      </c>
      <c r="I41" s="10" t="s">
        <v>115</v>
      </c>
      <c r="J41" s="13" t="s">
        <v>85</v>
      </c>
      <c r="K41" s="6" t="s">
        <v>33</v>
      </c>
    </row>
    <row r="42" customFormat="false" ht="22.35" hidden="false" customHeight="false" outlineLevel="0" collapsed="false">
      <c r="A42" s="5" t="s">
        <v>116</v>
      </c>
      <c r="B42" s="6" t="s">
        <v>74</v>
      </c>
      <c r="C42" s="6" t="s">
        <v>117</v>
      </c>
      <c r="D42" s="7" t="n">
        <v>3</v>
      </c>
      <c r="E42" s="7" t="n">
        <v>13</v>
      </c>
      <c r="F42" s="8" t="n">
        <f aca="false">D42/E42</f>
        <v>0.230769230769231</v>
      </c>
      <c r="G42" s="14" t="s">
        <v>109</v>
      </c>
      <c r="H42" s="10" t="n">
        <f aca="false">RANK(F42,$F$6:$F$48,0)</f>
        <v>40</v>
      </c>
      <c r="I42" s="10" t="s">
        <v>115</v>
      </c>
      <c r="J42" s="13" t="s">
        <v>85</v>
      </c>
      <c r="K42" s="6" t="s">
        <v>64</v>
      </c>
    </row>
    <row r="43" customFormat="false" ht="15" hidden="false" customHeight="false" outlineLevel="0" collapsed="false">
      <c r="A43" s="5" t="s">
        <v>118</v>
      </c>
      <c r="B43" s="6" t="s">
        <v>77</v>
      </c>
      <c r="C43" s="6" t="s">
        <v>119</v>
      </c>
      <c r="D43" s="7" t="n">
        <v>2</v>
      </c>
      <c r="E43" s="7" t="n">
        <v>8</v>
      </c>
      <c r="F43" s="8" t="n">
        <f aca="false">D43/E43</f>
        <v>0.25</v>
      </c>
      <c r="G43" s="14" t="s">
        <v>109</v>
      </c>
      <c r="H43" s="10" t="n">
        <f aca="false">RANK(F43,$F$6:$F$48,0)</f>
        <v>39</v>
      </c>
      <c r="I43" s="10" t="s">
        <v>115</v>
      </c>
      <c r="J43" s="13" t="s">
        <v>85</v>
      </c>
      <c r="K43" s="6" t="s">
        <v>37</v>
      </c>
    </row>
    <row r="44" customFormat="false" ht="22.35" hidden="false" customHeight="false" outlineLevel="0" collapsed="false">
      <c r="A44" s="5" t="s">
        <v>120</v>
      </c>
      <c r="B44" s="6" t="s">
        <v>15</v>
      </c>
      <c r="C44" s="6" t="s">
        <v>121</v>
      </c>
      <c r="D44" s="7" t="n">
        <v>5</v>
      </c>
      <c r="E44" s="7" t="n">
        <v>5</v>
      </c>
      <c r="F44" s="8" t="n">
        <f aca="false">D44/E44</f>
        <v>1</v>
      </c>
      <c r="G44" s="9" t="s">
        <v>17</v>
      </c>
      <c r="H44" s="10" t="n">
        <f aca="false">RANK(F44,$F$6:$F$48,0)</f>
        <v>11</v>
      </c>
      <c r="I44" s="10" t="s">
        <v>122</v>
      </c>
      <c r="J44" s="13" t="s">
        <v>85</v>
      </c>
      <c r="K44" s="6" t="s">
        <v>23</v>
      </c>
    </row>
    <row r="45" customFormat="false" ht="22.35" hidden="false" customHeight="false" outlineLevel="0" collapsed="false">
      <c r="A45" s="5" t="s">
        <v>123</v>
      </c>
      <c r="B45" s="6" t="s">
        <v>80</v>
      </c>
      <c r="C45" s="6" t="s">
        <v>124</v>
      </c>
      <c r="D45" s="7" t="n">
        <v>4</v>
      </c>
      <c r="E45" s="7" t="n">
        <v>8</v>
      </c>
      <c r="F45" s="8" t="n">
        <f aca="false">D45/E45</f>
        <v>0.5</v>
      </c>
      <c r="G45" s="12" t="s">
        <v>50</v>
      </c>
      <c r="H45" s="10" t="n">
        <f aca="false">RANK(F45,$F$6:$F$48,0)</f>
        <v>32</v>
      </c>
      <c r="I45" s="10" t="s">
        <v>122</v>
      </c>
      <c r="J45" s="13" t="s">
        <v>85</v>
      </c>
      <c r="K45" s="6" t="s">
        <v>58</v>
      </c>
    </row>
    <row r="46" customFormat="false" ht="15" hidden="false" customHeight="false" outlineLevel="0" collapsed="false">
      <c r="A46" s="5" t="s">
        <v>125</v>
      </c>
      <c r="B46" s="6" t="s">
        <v>77</v>
      </c>
      <c r="C46" s="6" t="s">
        <v>126</v>
      </c>
      <c r="D46" s="7" t="n">
        <v>4</v>
      </c>
      <c r="E46" s="7" t="n">
        <v>21</v>
      </c>
      <c r="F46" s="8" t="n">
        <f aca="false">D46/E46</f>
        <v>0.19047619047619</v>
      </c>
      <c r="G46" s="15" t="s">
        <v>127</v>
      </c>
      <c r="H46" s="10" t="n">
        <f aca="false">RANK(F46,$F$6:$F$48,0)</f>
        <v>41</v>
      </c>
      <c r="I46" s="10" t="s">
        <v>128</v>
      </c>
      <c r="J46" s="13" t="s">
        <v>85</v>
      </c>
      <c r="K46" s="6" t="s">
        <v>64</v>
      </c>
    </row>
    <row r="47" customFormat="false" ht="15" hidden="false" customHeight="false" outlineLevel="0" collapsed="false">
      <c r="A47" s="5" t="s">
        <v>129</v>
      </c>
      <c r="B47" s="6" t="s">
        <v>80</v>
      </c>
      <c r="C47" s="6" t="s">
        <v>130</v>
      </c>
      <c r="D47" s="7" t="n">
        <v>3</v>
      </c>
      <c r="E47" s="7" t="n">
        <v>21</v>
      </c>
      <c r="F47" s="8" t="n">
        <f aca="false">D47/E47</f>
        <v>0.142857142857143</v>
      </c>
      <c r="G47" s="15" t="s">
        <v>127</v>
      </c>
      <c r="H47" s="10" t="n">
        <f aca="false">RANK(F47,$F$6:$F$48,0)</f>
        <v>42</v>
      </c>
      <c r="I47" s="10" t="s">
        <v>128</v>
      </c>
      <c r="J47" s="13" t="s">
        <v>85</v>
      </c>
      <c r="K47" s="6" t="s">
        <v>58</v>
      </c>
    </row>
    <row r="48" customFormat="false" ht="15" hidden="false" customHeight="false" outlineLevel="0" collapsed="false">
      <c r="A48" s="5" t="s">
        <v>131</v>
      </c>
      <c r="B48" s="6" t="s">
        <v>35</v>
      </c>
      <c r="C48" s="6" t="s">
        <v>132</v>
      </c>
      <c r="D48" s="7" t="n">
        <v>2</v>
      </c>
      <c r="E48" s="7" t="n">
        <v>21</v>
      </c>
      <c r="F48" s="8" t="n">
        <f aca="false">D48/E48</f>
        <v>0.0952380952380952</v>
      </c>
      <c r="G48" s="15" t="s">
        <v>127</v>
      </c>
      <c r="H48" s="10" t="n">
        <f aca="false">RANK(F48,$F$6:$F$48,0)</f>
        <v>43</v>
      </c>
      <c r="I48" s="10" t="s">
        <v>128</v>
      </c>
      <c r="J48" s="13" t="s">
        <v>85</v>
      </c>
      <c r="K48" s="6" t="s">
        <v>37</v>
      </c>
    </row>
    <row r="49" customFormat="false" ht="15" hidden="false" customHeight="false" outlineLevel="0" collapsed="false">
      <c r="A49" s="16" t="n">
        <f aca="false">COUNTA(A6:A48)</f>
        <v>43</v>
      </c>
      <c r="B49" s="17"/>
      <c r="C49" s="18" t="s">
        <v>133</v>
      </c>
      <c r="D49" s="17"/>
      <c r="E49" s="16" t="n">
        <f aca="false">SUM(E6:E48)</f>
        <v>305</v>
      </c>
      <c r="F49" s="17"/>
      <c r="G49" s="17"/>
      <c r="H49" s="17"/>
      <c r="I49" s="17"/>
      <c r="J49" s="17"/>
      <c r="K49" s="17"/>
    </row>
    <row r="51" customFormat="false" ht="15" hidden="false" customHeight="false" outlineLevel="0" collapsed="false">
      <c r="B51" s="19" t="s">
        <v>134</v>
      </c>
    </row>
    <row r="52" customFormat="false" ht="15" hidden="false" customHeight="false" outlineLevel="0" collapsed="false">
      <c r="D52" s="20" t="s">
        <v>135</v>
      </c>
      <c r="E52" s="20" t="s">
        <v>136</v>
      </c>
    </row>
    <row r="53" customFormat="false" ht="15" hidden="false" customHeight="false" outlineLevel="0" collapsed="false">
      <c r="B53" s="21" t="s">
        <v>137</v>
      </c>
      <c r="D53" s="22" t="n">
        <f aca="false">COUNTIF(G6:G48,"Must have")</f>
        <v>25</v>
      </c>
      <c r="E53" s="22" t="n">
        <f aca="false">SUMIF(G6:G48,"Must have",E6:E48)</f>
        <v>140</v>
      </c>
    </row>
    <row r="54" customFormat="false" ht="15" hidden="false" customHeight="false" outlineLevel="0" collapsed="false">
      <c r="B54" s="21" t="s">
        <v>138</v>
      </c>
      <c r="D54" s="22" t="n">
        <f aca="false">COUNTIF(G6:G48,"Should have")</f>
        <v>11</v>
      </c>
      <c r="E54" s="22" t="n">
        <f aca="false">SUMIF(G6:G48,"Should have",E6:E48)</f>
        <v>73</v>
      </c>
    </row>
    <row r="55" customFormat="false" ht="15" hidden="false" customHeight="false" outlineLevel="0" collapsed="false">
      <c r="B55" s="21" t="s">
        <v>139</v>
      </c>
      <c r="D55" s="22" t="n">
        <f aca="false">COUNTIF(G6:G48,"Could have")</f>
        <v>4</v>
      </c>
      <c r="E55" s="22" t="n">
        <f aca="false">SUMIF(G6:G48,"Could have",E6:E48)</f>
        <v>29</v>
      </c>
    </row>
    <row r="56" customFormat="false" ht="15" hidden="false" customHeight="false" outlineLevel="0" collapsed="false">
      <c r="B56" s="21" t="s">
        <v>140</v>
      </c>
      <c r="D56" s="22" t="n">
        <f aca="false">COUNTIF(G6:G48,"Won't have (MVP)")</f>
        <v>3</v>
      </c>
      <c r="E56" s="22" t="n">
        <f aca="false">SUMIF(G6:G48,"Won't have (MVP)",E6:E48)</f>
        <v>63</v>
      </c>
    </row>
    <row r="58" customFormat="false" ht="15" hidden="false" customHeight="false" outlineLevel="0" collapsed="false">
      <c r="B58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72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3" customFormat="false" ht="15" hidden="false" customHeight="false" outlineLevel="0" collapsed="false">
      <c r="A3" s="3" t="s">
        <v>144</v>
      </c>
    </row>
    <row r="5" customFormat="false" ht="39.75" hidden="false" customHeight="true" outlineLevel="0" collapsed="false">
      <c r="A5" s="4" t="s">
        <v>145</v>
      </c>
      <c r="B5" s="4" t="s">
        <v>146</v>
      </c>
      <c r="C5" s="4" t="s">
        <v>147</v>
      </c>
      <c r="D5" s="4" t="s">
        <v>148</v>
      </c>
      <c r="E5" s="4" t="s">
        <v>149</v>
      </c>
      <c r="F5" s="4" t="s">
        <v>150</v>
      </c>
      <c r="G5" s="4" t="s">
        <v>151</v>
      </c>
      <c r="H5" s="4" t="s">
        <v>152</v>
      </c>
    </row>
    <row r="6" customFormat="false" ht="22.35" hidden="false" customHeight="false" outlineLevel="0" collapsed="false">
      <c r="A6" s="23" t="s">
        <v>18</v>
      </c>
      <c r="B6" s="24" t="s">
        <v>153</v>
      </c>
      <c r="C6" s="25" t="n">
        <f aca="false">COUNTIF('Backlog Priorizado'!$I$6:$I$48,A6)</f>
        <v>11</v>
      </c>
      <c r="D6" s="25" t="n">
        <f aca="false">COUNTIFS('Backlog Priorizado'!$I$6:$I$48,A6,'Backlog Priorizado'!$J$6:$J$48,"Completado")</f>
        <v>9</v>
      </c>
      <c r="E6" s="26" t="n">
        <f aca="false">IF(OR(C6=0,COUNTIFS('Backlog Priorizado'!$I$6:$I$48,A6,'Backlog Priorizado'!$J$6:$J$48,"Pendiente")=C6),"",D6/C6)</f>
        <v>0.818181818181818</v>
      </c>
      <c r="F6" s="27" t="str">
        <f aca="false">IF(E6="","Pendiente",IF(E6&gt;=0.8,"CUMPLE","NO CUMPLE"))</f>
        <v>CUMPLE</v>
      </c>
      <c r="G6" s="24" t="s">
        <v>154</v>
      </c>
      <c r="H6" s="28" t="s">
        <v>155</v>
      </c>
    </row>
    <row r="7" customFormat="false" ht="22.35" hidden="false" customHeight="false" outlineLevel="0" collapsed="false">
      <c r="A7" s="23" t="s">
        <v>53</v>
      </c>
      <c r="B7" s="24" t="s">
        <v>156</v>
      </c>
      <c r="C7" s="25" t="n">
        <f aca="false">COUNTIF('Backlog Priorizado'!$I$6:$I$48,A7)</f>
        <v>12</v>
      </c>
      <c r="D7" s="25" t="n">
        <f aca="false">COUNTIFS('Backlog Priorizado'!$I$6:$I$48,A7,'Backlog Priorizado'!$J$6:$J$48,"Completado")</f>
        <v>10</v>
      </c>
      <c r="E7" s="26" t="n">
        <f aca="false">IF(OR(C7=0,COUNTIFS('Backlog Priorizado'!$I$6:$I$48,A7,'Backlog Priorizado'!$J$6:$J$48,"Pendiente")=C7),"",D7/C7)</f>
        <v>0.833333333333333</v>
      </c>
      <c r="F7" s="27" t="str">
        <f aca="false">IF(E7="","Pendiente",IF(E7&gt;=0.8,"CUMPLE","NO CUMPLE"))</f>
        <v>CUMPLE</v>
      </c>
      <c r="G7" s="24" t="s">
        <v>157</v>
      </c>
      <c r="H7" s="28" t="s">
        <v>158</v>
      </c>
    </row>
    <row r="8" customFormat="false" ht="15" hidden="false" customHeight="false" outlineLevel="0" collapsed="false">
      <c r="A8" s="23" t="s">
        <v>84</v>
      </c>
      <c r="B8" s="24" t="s">
        <v>159</v>
      </c>
      <c r="C8" s="25" t="n">
        <f aca="false">COUNTIF('Backlog Priorizado'!$I$6:$I$48,A8)</f>
        <v>7</v>
      </c>
      <c r="D8" s="25" t="n">
        <f aca="false">COUNTIFS('Backlog Priorizado'!$I$6:$I$48,A8,'Backlog Priorizado'!$J$6:$J$48,"Completado")</f>
        <v>0</v>
      </c>
      <c r="E8" s="26" t="str">
        <f aca="false">IF(OR(C8=0,COUNTIFS('Backlog Priorizado'!$I$6:$I$48,A8,'Backlog Priorizado'!$J$6:$J$48,"Pendiente")=C8),"",D8/C8)</f>
        <v/>
      </c>
      <c r="F8" s="27" t="str">
        <f aca="false">IF(E8="","Pendiente",IF(E8&gt;=0.8,"CUMPLE","NO CUMPLE"))</f>
        <v>Pendiente</v>
      </c>
      <c r="G8" s="24"/>
      <c r="H8" s="28" t="s">
        <v>160</v>
      </c>
    </row>
    <row r="9" customFormat="false" ht="15" hidden="false" customHeight="false" outlineLevel="0" collapsed="false">
      <c r="A9" s="23" t="s">
        <v>102</v>
      </c>
      <c r="B9" s="24" t="s">
        <v>161</v>
      </c>
      <c r="C9" s="25" t="n">
        <f aca="false">COUNTIF('Backlog Priorizado'!$I$6:$I$48,A9)</f>
        <v>5</v>
      </c>
      <c r="D9" s="25" t="n">
        <f aca="false">COUNTIFS('Backlog Priorizado'!$I$6:$I$48,A9,'Backlog Priorizado'!$J$6:$J$48,"Completado")</f>
        <v>0</v>
      </c>
      <c r="E9" s="26" t="str">
        <f aca="false">IF(OR(C9=0,COUNTIFS('Backlog Priorizado'!$I$6:$I$48,A9,'Backlog Priorizado'!$J$6:$J$48,"Pendiente")=C9),"",D9/C9)</f>
        <v/>
      </c>
      <c r="F9" s="27" t="str">
        <f aca="false">IF(E9="","Pendiente",IF(E9&gt;=0.8,"CUMPLE","NO CUMPLE"))</f>
        <v>Pendiente</v>
      </c>
      <c r="G9" s="24"/>
      <c r="H9" s="28" t="s">
        <v>160</v>
      </c>
    </row>
    <row r="10" customFormat="false" ht="15" hidden="false" customHeight="false" outlineLevel="0" collapsed="false">
      <c r="A10" s="23" t="s">
        <v>115</v>
      </c>
      <c r="B10" s="24" t="s">
        <v>162</v>
      </c>
      <c r="C10" s="25" t="n">
        <f aca="false">COUNTIF('Backlog Priorizado'!$I$6:$I$48,A10)</f>
        <v>3</v>
      </c>
      <c r="D10" s="25" t="n">
        <f aca="false">COUNTIFS('Backlog Priorizado'!$I$6:$I$48,A10,'Backlog Priorizado'!$J$6:$J$48,"Completado")</f>
        <v>0</v>
      </c>
      <c r="E10" s="26" t="str">
        <f aca="false">IF(OR(C10=0,COUNTIFS('Backlog Priorizado'!$I$6:$I$48,A10,'Backlog Priorizado'!$J$6:$J$48,"Pendiente")=C10),"",D10/C10)</f>
        <v/>
      </c>
      <c r="F10" s="27" t="str">
        <f aca="false">IF(E10="","Pendiente",IF(E10&gt;=0.8,"CUMPLE","NO CUMPLE"))</f>
        <v>Pendiente</v>
      </c>
      <c r="G10" s="24"/>
      <c r="H10" s="28" t="s">
        <v>160</v>
      </c>
    </row>
    <row r="11" customFormat="false" ht="15" hidden="false" customHeight="false" outlineLevel="0" collapsed="false">
      <c r="A11" s="23" t="s">
        <v>122</v>
      </c>
      <c r="B11" s="24" t="s">
        <v>163</v>
      </c>
      <c r="C11" s="25" t="n">
        <f aca="false">COUNTIF('Backlog Priorizado'!$I$6:$I$48,A11)</f>
        <v>2</v>
      </c>
      <c r="D11" s="25" t="n">
        <f aca="false">COUNTIFS('Backlog Priorizado'!$I$6:$I$48,A11,'Backlog Priorizado'!$J$6:$J$48,"Completado")</f>
        <v>0</v>
      </c>
      <c r="E11" s="26" t="str">
        <f aca="false">IF(OR(C11=0,COUNTIFS('Backlog Priorizado'!$I$6:$I$48,A11,'Backlog Priorizado'!$J$6:$J$48,"Pendiente")=C11),"",D11/C11)</f>
        <v/>
      </c>
      <c r="F11" s="27" t="str">
        <f aca="false">IF(E11="","Pendiente",IF(E11&gt;=0.8,"CUMPLE","NO CUMPLE"))</f>
        <v>Pendiente</v>
      </c>
      <c r="G11" s="24"/>
      <c r="H11" s="28" t="s">
        <v>160</v>
      </c>
    </row>
    <row r="12" customFormat="false" ht="15" hidden="false" customHeight="false" outlineLevel="0" collapsed="false">
      <c r="A12" s="17"/>
      <c r="B12" s="18" t="s">
        <v>164</v>
      </c>
      <c r="C12" s="16" t="n">
        <f aca="false">SUM(C6:C11)</f>
        <v>40</v>
      </c>
      <c r="D12" s="16" t="n">
        <f aca="false">SUM(D6:D11)</f>
        <v>19</v>
      </c>
      <c r="E12" s="17"/>
      <c r="F12" s="17"/>
      <c r="G12" s="17"/>
      <c r="H12" s="17"/>
    </row>
    <row r="14" customFormat="false" ht="15" hidden="false" customHeight="false" outlineLevel="0" collapsed="false">
      <c r="A14" s="19" t="s">
        <v>165</v>
      </c>
    </row>
    <row r="15" customFormat="false" ht="15" hidden="false" customHeight="false" outlineLevel="0" collapsed="false">
      <c r="A15" s="29" t="s">
        <v>166</v>
      </c>
      <c r="D15" s="30" t="n">
        <f aca="false">C6+C7</f>
        <v>23</v>
      </c>
    </row>
    <row r="16" customFormat="false" ht="15" hidden="false" customHeight="false" outlineLevel="0" collapsed="false">
      <c r="A16" s="29" t="s">
        <v>167</v>
      </c>
      <c r="D16" s="30" t="n">
        <f aca="false">D6+D7</f>
        <v>19</v>
      </c>
    </row>
    <row r="17" customFormat="false" ht="15" hidden="false" customHeight="false" outlineLevel="0" collapsed="false">
      <c r="A17" s="29" t="s">
        <v>168</v>
      </c>
      <c r="D17" s="31" t="n">
        <f aca="false">(D6+D7)/(C6+C7)</f>
        <v>0.826086956521739</v>
      </c>
    </row>
    <row r="18" customFormat="false" ht="15" hidden="false" customHeight="false" outlineLevel="0" collapsed="false">
      <c r="A18" s="29" t="s">
        <v>169</v>
      </c>
      <c r="D18" s="32" t="n">
        <v>0.8</v>
      </c>
    </row>
    <row r="19" customFormat="false" ht="15" hidden="false" customHeight="false" outlineLevel="0" collapsed="false">
      <c r="A19" s="29" t="s">
        <v>170</v>
      </c>
      <c r="D19" s="30" t="str">
        <f aca="false">IF((D6+D7)/(C6+C7)&gt;=0.8,"CUMPLE LA META","NO CUMPLE LA META")</f>
        <v>CUMPLE LA META</v>
      </c>
    </row>
    <row r="21" customFormat="false" ht="15" hidden="false" customHeight="false" outlineLevel="0" collapsed="false">
      <c r="A21" s="3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2026-10-16T00:18:09Z</dcterms:created>
  <dc:creator>openpyxl</dc:creator>
  <dc:description/>
  <dc:language>en-US</dc:language>
  <cp:lastModifiedBy/>
  <dcterms:modified xsi:type="dcterms:W3CDTF">2026-10-16T00:18:09Z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