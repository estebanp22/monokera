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de Stakeholders" sheetId="1" state="visible" r:id="rId3"/>
    <sheet name="Matriz Poder-Interé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<sst xmlns="http://schemas.openxmlformats.org/spreadsheetml/2006/main" count="140" uniqueCount="120">
  <si>
    <t xml:space="preserve">IDENTIFICACIÓN Y ANÁLISIS DE STAKEHOLDERS</t>
  </si>
  <si>
    <t xml:space="preserve">Caso 10 - Monokera | Fase Técnica 1: Análisis | Líder: Santiago Arias Mosquera</t>
  </si>
  <si>
    <t xml:space="preserve">Escala de Poder e Interés: 1 = muy bajo, 5 = muy alto. La clasificación se calcula automaticamente según la matriz Poder/Interés de Mendelow.</t>
  </si>
  <si>
    <t xml:space="preserve">ID</t>
  </si>
  <si>
    <t xml:space="preserve">Stakeholder</t>
  </si>
  <si>
    <t xml:space="preserve">Tipo</t>
  </si>
  <si>
    <t xml:space="preserve">Área / Rol</t>
  </si>
  <si>
    <t xml:space="preserve">Interés principal en el proyecto</t>
  </si>
  <si>
    <t xml:space="preserve">Expectativa declarada</t>
  </si>
  <si>
    <t xml:space="preserve">Poder (1-5)</t>
  </si>
  <si>
    <t xml:space="preserve">Interés (1-5)</t>
  </si>
  <si>
    <t xml:space="preserve">Indice</t>
  </si>
  <si>
    <t xml:space="preserve">Clasificación</t>
  </si>
  <si>
    <t xml:space="preserve">Estrategia de gestión</t>
  </si>
  <si>
    <t xml:space="preserve">Responsable del relacionamiento</t>
  </si>
  <si>
    <t xml:space="preserve">Frecuencia de contacto</t>
  </si>
  <si>
    <t xml:space="preserve">ST-01</t>
  </si>
  <si>
    <t xml:space="preserve">Área Legal de Monokera</t>
  </si>
  <si>
    <t xml:space="preserve">Interno</t>
  </si>
  <si>
    <t xml:space="preserve">Cumplimiento y contratos</t>
  </si>
  <si>
    <t xml:space="preserve">Que ninguna pantalla del prototipo contradiga el clausulado de la póliza ni induzca a error al asegurado.</t>
  </si>
  <si>
    <t xml:space="preserve">Precision absoluta en la información contractual y de cobertura mostrada.</t>
  </si>
  <si>
    <t xml:space="preserve">Validación obligatoria de todo microcopy contractual antes de pasar a Implementación. Punto de control formal al cierre de Diseño.</t>
  </si>
  <si>
    <t xml:space="preserve">David Mauricio Torres</t>
  </si>
  <si>
    <t xml:space="preserve">Semanal</t>
  </si>
  <si>
    <t xml:space="preserve">ST-02</t>
  </si>
  <si>
    <t xml:space="preserve">Área Actuarial de Monokera</t>
  </si>
  <si>
    <t xml:space="preserve">Actuaría y siniestralidad</t>
  </si>
  <si>
    <t xml:space="preserve">Que el simulador de planes no altere el modelo actuarial ni exponga tarifas de primas reales.</t>
  </si>
  <si>
    <t xml:space="preserve">Ninguna modificación del modelo actuarial ni de las tarifas; monitoreo de siniestralidad y abandono.</t>
  </si>
  <si>
    <t xml:space="preserve">Consultor actuarial externo valida el simulador. El simulador opera sobre rangos referenciales, nunca sobre tarifas productivas.</t>
  </si>
  <si>
    <t xml:space="preserve">Santiago Arias Mosquera</t>
  </si>
  <si>
    <t xml:space="preserve">Quincenal</t>
  </si>
  <si>
    <t xml:space="preserve">ST-03</t>
  </si>
  <si>
    <t xml:space="preserve">Área de Marketing de Monokera</t>
  </si>
  <si>
    <t xml:space="preserve">Crecimiento y retencion</t>
  </si>
  <si>
    <t xml:space="preserve">Lanzar rápido para reducir la tasa de abandono de pólizas en el corto plazo.</t>
  </si>
  <si>
    <t xml:space="preserve">Lanzamiento acelerado y reducción inmediata del abandono.</t>
  </si>
  <si>
    <t xml:space="preserve">Se negocia alcance de MVP: el simulador y las alertas entran en el MVP; los contenidos educativos ampliados se difieren a una fase posterior.</t>
  </si>
  <si>
    <t xml:space="preserve">ST-04</t>
  </si>
  <si>
    <t xml:space="preserve">Área de Producto de Monokera</t>
  </si>
  <si>
    <t xml:space="preserve">Producto digital</t>
  </si>
  <si>
    <t xml:space="preserve">Coherencia del prototipo con la plataforma de Insurance-as-a-Service existente.</t>
  </si>
  <si>
    <t xml:space="preserve">Integración conceptual con la plataforma actual sin duplicar funcionalidades.</t>
  </si>
  <si>
    <t xml:space="preserve">Revisión conjunta de la arquitectura de información y del mapa de navegación en la fase de Diseño.</t>
  </si>
  <si>
    <t xml:space="preserve">Esteban Pineda Ardila</t>
  </si>
  <si>
    <t xml:space="preserve">ST-05</t>
  </si>
  <si>
    <t xml:space="preserve">Dirección General de Monokera</t>
  </si>
  <si>
    <t xml:space="preserve">Patrocinador del proyecto</t>
  </si>
  <si>
    <t xml:space="preserve">Retorno del proyecto en retencion y rentabilidad del canal de distribución.</t>
  </si>
  <si>
    <t xml:space="preserve">Cumplimiento del presupuesto de $265.000.000 y de la fecha de entrega del 19 de noviembre.</t>
  </si>
  <si>
    <t xml:space="preserve">Reporte quincenal con los dos indicadores obligatorios y el estado del presupuesto.</t>
  </si>
  <si>
    <t xml:space="preserve">ST-06</t>
  </si>
  <si>
    <t xml:space="preserve">Asegurado final (usuario)</t>
  </si>
  <si>
    <t xml:space="preserve">Externo</t>
  </si>
  <si>
    <t xml:space="preserve">Usuario de la aplicación</t>
  </si>
  <si>
    <t xml:space="preserve">Entender su cobertura, exclusiones, vigencia y qué hacer ante un siniestro.</t>
  </si>
  <si>
    <t xml:space="preserve">Información clara, en lenguaje comprensible y disponible cuando la necesita.</t>
  </si>
  <si>
    <t xml:space="preserve">Participación de 12 asegurados reales en las pruebas de usabilidad de la fase 4. Sus hallazgos son insumo obligatorio de re-trabajo.</t>
  </si>
  <si>
    <t xml:space="preserve">Por sesión de prueba</t>
  </si>
  <si>
    <t xml:space="preserve">ST-07</t>
  </si>
  <si>
    <t xml:space="preserve">Superintendencia Financiera de Colombia (SFC)</t>
  </si>
  <si>
    <t xml:space="preserve">Externo / Regulador</t>
  </si>
  <si>
    <t xml:space="preserve">Regulación y supervision</t>
  </si>
  <si>
    <t xml:space="preserve">Cumplimiento de la normativa de seguros y de protección al consumidor financiero.</t>
  </si>
  <si>
    <t xml:space="preserve">Adecuación del producto a las circulares vigentes; potestad de emitir cambios normativos.</t>
  </si>
  <si>
    <t xml:space="preserve">Monitoreo quincenal de circulares. Reserva de contingencia regulatoria de $9.990.000 y holgura X-01 en el cronograma.</t>
  </si>
  <si>
    <t xml:space="preserve">Monitoreo continuo</t>
  </si>
  <si>
    <t xml:space="preserve">ST-08</t>
  </si>
  <si>
    <t xml:space="preserve">Aseguradoras partner</t>
  </si>
  <si>
    <t xml:space="preserve">Respaldo de productos</t>
  </si>
  <si>
    <t xml:space="preserve">Que el prototipo represente correctamente los productos que ellas respaldan.</t>
  </si>
  <si>
    <t xml:space="preserve">Fidelidad en la representacion de coberturas y condiciones de sus productos.</t>
  </si>
  <si>
    <t xml:space="preserve">Validación de la representacion de productos en el cierre de la fase de Diseño, a traves del área de Producto.</t>
  </si>
  <si>
    <t xml:space="preserve">Mensual</t>
  </si>
  <si>
    <t xml:space="preserve">ST-09</t>
  </si>
  <si>
    <t xml:space="preserve">Servicio de soporte y reclamaciones</t>
  </si>
  <si>
    <t xml:space="preserve">Operación y atención</t>
  </si>
  <si>
    <t xml:space="preserve">Reducir el volumen de consultas repetitivas sobre coberturas, primas y vigencias.</t>
  </si>
  <si>
    <t xml:space="preserve">Que la aplicación resuelva las dudas que hoy llegan al canal de soporte.</t>
  </si>
  <si>
    <t xml:space="preserve">Se toma el historico de consultas frecuentes de soporte como fuente para priorizar los contenidos educativos del MVP.</t>
  </si>
  <si>
    <t xml:space="preserve">ST-10</t>
  </si>
  <si>
    <t xml:space="preserve">Equipo de proyecto (EAM)</t>
  </si>
  <si>
    <t xml:space="preserve">Ejecución</t>
  </si>
  <si>
    <t xml:space="preserve">Entregar el prototipo navegable cumpliendo alcance, tiempo, presupuesto e indicadores.</t>
  </si>
  <si>
    <t xml:space="preserve">Claridad de requisitos, estabilidad del alcance y decisiones oportunas del cliente.</t>
  </si>
  <si>
    <t xml:space="preserve">Bitácora del equipo, liderazgo rotativo por fase y reuniones de seguimiento quincenales.</t>
  </si>
  <si>
    <t xml:space="preserve">Marlon Andres Campo</t>
  </si>
  <si>
    <t xml:space="preserve">Diaria</t>
  </si>
  <si>
    <t xml:space="preserve">ST-11</t>
  </si>
  <si>
    <t xml:space="preserve">Docente / Comite evaluador</t>
  </si>
  <si>
    <t xml:space="preserve">Evaluación academica</t>
  </si>
  <si>
    <t xml:space="preserve">Evidenciar la capacidad de gestión del equipo, no unicamente la calidad del prototipo.</t>
  </si>
  <si>
    <t xml:space="preserve">Trazabilidad documental, cumplimiento de los seguimientos y capacidad de respuesta ante situaciones caoticas.</t>
  </si>
  <si>
    <t xml:space="preserve">Entrega puntual de los tres reportes de seguimiento y de la documentación completa de cada fase.</t>
  </si>
  <si>
    <t xml:space="preserve">Total de stakeholders identificados:</t>
  </si>
  <si>
    <t xml:space="preserve">Stakeholders críticos (clasificación 'Gestionar de cerca'):</t>
  </si>
  <si>
    <t xml:space="preserve">Tensión principal del caso: ST-01 (Legal) y ST-02 (Actuaría) exigen precision y no modificación del modelo, mientras ST-03 (Marketing) presiona por velocidad. El equipo resuelve esta tensión priorizando el cumplimiento normativo como restriccion no negociable y ajustando el alcance del MVP, no la calidad de la información.</t>
  </si>
  <si>
    <t xml:space="preserve">MATRIZ PODER / INTERÉS (MENDELOW)</t>
  </si>
  <si>
    <t xml:space="preserve">Ubicacion de cada stakeholder según su capacidad de afectar el proyecto y su nivel de interés en el.</t>
  </si>
  <si>
    <t xml:space="preserve">PODER ALTO / INTERÉS BAJO</t>
  </si>
  <si>
    <t xml:space="preserve">PODER ALTO / INTERÉS ALTO</t>
  </si>
  <si>
    <t xml:space="preserve">P</t>
  </si>
  <si>
    <t xml:space="preserve">Estrategia: Mantener satisfecho</t>
  </si>
  <si>
    <t xml:space="preserve">Estrategia: Gestionar de cerca</t>
  </si>
  <si>
    <t xml:space="preserve">O</t>
  </si>
  <si>
    <t xml:space="preserve">ST-05 Dirección General
ST-07 Superintendencia Financiera de Colombia</t>
  </si>
  <si>
    <t xml:space="preserve">ST-01 Legal
ST-02 Actuaría
ST-04 Producto
ST-11 Docente / Comite evaluador</t>
  </si>
  <si>
    <t xml:space="preserve">D</t>
  </si>
  <si>
    <t xml:space="preserve">E</t>
  </si>
  <si>
    <t xml:space="preserve">R</t>
  </si>
  <si>
    <t xml:space="preserve">PODER BAJO / INTERÉS BAJO</t>
  </si>
  <si>
    <t xml:space="preserve">PODER BAJO / INTERÉS ALTO</t>
  </si>
  <si>
    <t xml:space="preserve">Estrategia: Monitorear</t>
  </si>
  <si>
    <t xml:space="preserve">Estrategia: Mantener informado</t>
  </si>
  <si>
    <t xml:space="preserve">ST-08 Aseguradoras partner</t>
  </si>
  <si>
    <t xml:space="preserve">ST-03 Marketing
ST-06 Asegurado final
ST-09 Soporte y reclamaciones
ST-10 Equipo de proyecto</t>
  </si>
  <si>
    <t xml:space="preserve">I N T E R E S   ----&gt;</t>
  </si>
  <si>
    <t xml:space="preserve">Lectura de la matriz: los cuatro stakeholders del cuadrante 'Gestionar de cerca' concentran el riesgo de re-trabajo del proyecto. Legal y Actuaría tienen poder de veto sobre el contenido del prototipo, por lo que sus validaciones se incorporaron como hitos formales del cronograma y no como revisiones informales.</t>
  </si>
  <si>
    <t xml:space="preserve">La SFC se gestiona como 'Mantener satisfecho': no participa en el proyecto, pero un cambio normativo suyo obliga a re-trabajo. Por eso se reservo presupuesto y holgura de cronograma específicos para ese escenario.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</si>
</sst>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FFC7CE"/>
        <bgColor rgb="FFE7E6E6"/>
      </patternFill>
    </fill>
    <fill>
      <patternFill patternType="solid">
        <fgColor rgb="FFE7E6E6"/>
        <bgColor rgb="FFE2EFDA"/>
      </patternFill>
    </fill>
    <fill>
      <patternFill patternType="solid">
        <fgColor rgb="FFE2EFDA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6" min="5" style="0" width="42"/>
    <col collapsed="false" customWidth="true" hidden="false" outlineLevel="0" max="8" min="7" style="0" width="9"/>
    <col collapsed="false" customWidth="true" hidden="false" outlineLevel="0" max="9" min="9" style="0" width="8"/>
    <col collapsed="false" customWidth="true" hidden="false" outlineLevel="0" max="10" min="10" style="0" width="16"/>
    <col collapsed="false" customWidth="true" hidden="false" outlineLevel="0" max="11" min="11" style="0" width="52"/>
    <col collapsed="false" customWidth="true" hidden="false" outlineLevel="0" max="12" min="12" style="0" width="24"/>
    <col collapsed="false" customWidth="true" hidden="false" outlineLevel="0" max="13" min="13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42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</row>
    <row r="6" customFormat="false" ht="23.85" hidden="false" customHeight="false" outlineLevel="0" collapsed="false">
      <c r="A6" s="5" t="s">
        <v>16</v>
      </c>
      <c r="B6" s="6" t="s">
        <v>17</v>
      </c>
      <c r="C6" s="7" t="s">
        <v>18</v>
      </c>
      <c r="D6" s="7" t="s">
        <v>19</v>
      </c>
      <c r="E6" s="7" t="s">
        <v>20</v>
      </c>
      <c r="F6" s="7" t="s">
        <v>21</v>
      </c>
      <c r="G6" s="8" t="n">
        <v>5</v>
      </c>
      <c r="H6" s="8" t="n">
        <v>5</v>
      </c>
      <c r="I6" s="9" t="n">
        <f aca="false">G6*H6</f>
        <v>25</v>
      </c>
      <c r="J6" s="9" t="str">
        <f aca="false">IF(AND(G6&gt;=4,H6&gt;=4),"Gestionar de cerca",IF(AND(G6&gt;=4,H6&lt;4),"Mantener satisfecho",IF(AND(G6&lt;4,H6&gt;=4),"Mantener informado","Monitorear")))</f>
        <v>Gestionar de cerca</v>
      </c>
      <c r="K6" s="7" t="s">
        <v>22</v>
      </c>
      <c r="L6" s="7" t="s">
        <v>23</v>
      </c>
      <c r="M6" s="7" t="s">
        <v>24</v>
      </c>
    </row>
    <row r="7" customFormat="false" ht="23.85" hidden="false" customHeight="false" outlineLevel="0" collapsed="false">
      <c r="A7" s="5" t="s">
        <v>25</v>
      </c>
      <c r="B7" s="6" t="s">
        <v>26</v>
      </c>
      <c r="C7" s="7" t="s">
        <v>18</v>
      </c>
      <c r="D7" s="7" t="s">
        <v>27</v>
      </c>
      <c r="E7" s="7" t="s">
        <v>28</v>
      </c>
      <c r="F7" s="7" t="s">
        <v>29</v>
      </c>
      <c r="G7" s="8" t="n">
        <v>5</v>
      </c>
      <c r="H7" s="8" t="n">
        <v>4</v>
      </c>
      <c r="I7" s="9" t="n">
        <f aca="false">G7*H7</f>
        <v>20</v>
      </c>
      <c r="J7" s="9" t="str">
        <f aca="false">IF(AND(G7&gt;=4,H7&gt;=4),"Gestionar de cerca",IF(AND(G7&gt;=4,H7&lt;4),"Mantener satisfecho",IF(AND(G7&lt;4,H7&gt;=4),"Mantener informado","Monitorear")))</f>
        <v>Gestionar de cerca</v>
      </c>
      <c r="K7" s="7" t="s">
        <v>30</v>
      </c>
      <c r="L7" s="7" t="s">
        <v>31</v>
      </c>
      <c r="M7" s="7" t="s">
        <v>32</v>
      </c>
    </row>
    <row r="8" customFormat="false" ht="32.8" hidden="false" customHeight="false" outlineLevel="0" collapsed="false">
      <c r="A8" s="5" t="s">
        <v>33</v>
      </c>
      <c r="B8" s="6" t="s">
        <v>34</v>
      </c>
      <c r="C8" s="7" t="s">
        <v>18</v>
      </c>
      <c r="D8" s="7" t="s">
        <v>35</v>
      </c>
      <c r="E8" s="7" t="s">
        <v>36</v>
      </c>
      <c r="F8" s="7" t="s">
        <v>37</v>
      </c>
      <c r="G8" s="8" t="n">
        <v>3</v>
      </c>
      <c r="H8" s="8" t="n">
        <v>5</v>
      </c>
      <c r="I8" s="9" t="n">
        <f aca="false">G8*H8</f>
        <v>15</v>
      </c>
      <c r="J8" s="9" t="str">
        <f aca="false">IF(AND(G8&gt;=4,H8&gt;=4),"Gestionar de cerca",IF(AND(G8&gt;=4,H8&lt;4),"Mantener satisfecho",IF(AND(G8&lt;4,H8&gt;=4),"Mantener informado","Monitorear")))</f>
        <v>Mantener informado</v>
      </c>
      <c r="K8" s="7" t="s">
        <v>38</v>
      </c>
      <c r="L8" s="7" t="s">
        <v>23</v>
      </c>
      <c r="M8" s="7" t="s">
        <v>32</v>
      </c>
    </row>
    <row r="9" customFormat="false" ht="23.85" hidden="false" customHeight="false" outlineLevel="0" collapsed="false">
      <c r="A9" s="5" t="s">
        <v>39</v>
      </c>
      <c r="B9" s="6" t="s">
        <v>40</v>
      </c>
      <c r="C9" s="7" t="s">
        <v>18</v>
      </c>
      <c r="D9" s="7" t="s">
        <v>41</v>
      </c>
      <c r="E9" s="7" t="s">
        <v>42</v>
      </c>
      <c r="F9" s="7" t="s">
        <v>43</v>
      </c>
      <c r="G9" s="8" t="n">
        <v>4</v>
      </c>
      <c r="H9" s="8" t="n">
        <v>5</v>
      </c>
      <c r="I9" s="9" t="n">
        <f aca="false">G9*H9</f>
        <v>20</v>
      </c>
      <c r="J9" s="9" t="str">
        <f aca="false">IF(AND(G9&gt;=4,H9&gt;=4),"Gestionar de cerca",IF(AND(G9&gt;=4,H9&lt;4),"Mantener satisfecho",IF(AND(G9&lt;4,H9&gt;=4),"Mantener informado","Monitorear")))</f>
        <v>Gestionar de cerca</v>
      </c>
      <c r="K9" s="7" t="s">
        <v>44</v>
      </c>
      <c r="L9" s="7" t="s">
        <v>45</v>
      </c>
      <c r="M9" s="7" t="s">
        <v>24</v>
      </c>
    </row>
    <row r="10" customFormat="false" ht="23.85" hidden="false" customHeight="false" outlineLevel="0" collapsed="false">
      <c r="A10" s="5" t="s">
        <v>46</v>
      </c>
      <c r="B10" s="6" t="s">
        <v>47</v>
      </c>
      <c r="C10" s="7" t="s">
        <v>18</v>
      </c>
      <c r="D10" s="7" t="s">
        <v>48</v>
      </c>
      <c r="E10" s="7" t="s">
        <v>49</v>
      </c>
      <c r="F10" s="7" t="s">
        <v>50</v>
      </c>
      <c r="G10" s="8" t="n">
        <v>5</v>
      </c>
      <c r="H10" s="8" t="n">
        <v>3</v>
      </c>
      <c r="I10" s="9" t="n">
        <f aca="false">G10*H10</f>
        <v>15</v>
      </c>
      <c r="J10" s="9" t="str">
        <f aca="false">IF(AND(G10&gt;=4,H10&gt;=4),"Gestionar de cerca",IF(AND(G10&gt;=4,H10&lt;4),"Mantener satisfecho",IF(AND(G10&lt;4,H10&gt;=4),"Mantener informado","Monitorear")))</f>
        <v>Mantener satisfecho</v>
      </c>
      <c r="K10" s="7" t="s">
        <v>51</v>
      </c>
      <c r="L10" s="7" t="s">
        <v>31</v>
      </c>
      <c r="M10" s="7" t="s">
        <v>32</v>
      </c>
    </row>
    <row r="11" customFormat="false" ht="23.85" hidden="false" customHeight="false" outlineLevel="0" collapsed="false">
      <c r="A11" s="5" t="s">
        <v>52</v>
      </c>
      <c r="B11" s="6" t="s">
        <v>53</v>
      </c>
      <c r="C11" s="7" t="s">
        <v>54</v>
      </c>
      <c r="D11" s="7" t="s">
        <v>55</v>
      </c>
      <c r="E11" s="7" t="s">
        <v>56</v>
      </c>
      <c r="F11" s="7" t="s">
        <v>57</v>
      </c>
      <c r="G11" s="8" t="n">
        <v>2</v>
      </c>
      <c r="H11" s="8" t="n">
        <v>5</v>
      </c>
      <c r="I11" s="9" t="n">
        <f aca="false">G11*H11</f>
        <v>10</v>
      </c>
      <c r="J11" s="9" t="str">
        <f aca="false">IF(AND(G11&gt;=4,H11&gt;=4),"Gestionar de cerca",IF(AND(G11&gt;=4,H11&lt;4),"Mantener satisfecho",IF(AND(G11&lt;4,H11&gt;=4),"Mantener informado","Monitorear")))</f>
        <v>Mantener informado</v>
      </c>
      <c r="K11" s="7" t="s">
        <v>58</v>
      </c>
      <c r="L11" s="7" t="s">
        <v>23</v>
      </c>
      <c r="M11" s="7" t="s">
        <v>59</v>
      </c>
    </row>
    <row r="12" customFormat="false" ht="23.85" hidden="false" customHeight="false" outlineLevel="0" collapsed="false">
      <c r="A12" s="5" t="s">
        <v>60</v>
      </c>
      <c r="B12" s="6" t="s">
        <v>61</v>
      </c>
      <c r="C12" s="7" t="s">
        <v>62</v>
      </c>
      <c r="D12" s="7" t="s">
        <v>63</v>
      </c>
      <c r="E12" s="7" t="s">
        <v>64</v>
      </c>
      <c r="F12" s="7" t="s">
        <v>65</v>
      </c>
      <c r="G12" s="8" t="n">
        <v>5</v>
      </c>
      <c r="H12" s="8" t="n">
        <v>2</v>
      </c>
      <c r="I12" s="9" t="n">
        <f aca="false">G12*H12</f>
        <v>10</v>
      </c>
      <c r="J12" s="9" t="str">
        <f aca="false">IF(AND(G12&gt;=4,H12&gt;=4),"Gestionar de cerca",IF(AND(G12&gt;=4,H12&lt;4),"Mantener satisfecho",IF(AND(G12&lt;4,H12&gt;=4),"Mantener informado","Monitorear")))</f>
        <v>Mantener satisfecho</v>
      </c>
      <c r="K12" s="7" t="s">
        <v>66</v>
      </c>
      <c r="L12" s="7" t="s">
        <v>31</v>
      </c>
      <c r="M12" s="7" t="s">
        <v>67</v>
      </c>
    </row>
    <row r="13" customFormat="false" ht="22.35" hidden="false" customHeight="false" outlineLevel="0" collapsed="false">
      <c r="A13" s="5" t="s">
        <v>68</v>
      </c>
      <c r="B13" s="6" t="s">
        <v>69</v>
      </c>
      <c r="C13" s="7" t="s">
        <v>54</v>
      </c>
      <c r="D13" s="7" t="s">
        <v>70</v>
      </c>
      <c r="E13" s="7" t="s">
        <v>71</v>
      </c>
      <c r="F13" s="7" t="s">
        <v>72</v>
      </c>
      <c r="G13" s="8" t="n">
        <v>3</v>
      </c>
      <c r="H13" s="8" t="n">
        <v>3</v>
      </c>
      <c r="I13" s="9" t="n">
        <f aca="false">G13*H13</f>
        <v>9</v>
      </c>
      <c r="J13" s="9" t="str">
        <f aca="false">IF(AND(G13&gt;=4,H13&gt;=4),"Gestionar de cerca",IF(AND(G13&gt;=4,H13&lt;4),"Mantener satisfecho",IF(AND(G13&lt;4,H13&gt;=4),"Mantener informado","Monitorear")))</f>
        <v>Monitorear</v>
      </c>
      <c r="K13" s="7" t="s">
        <v>73</v>
      </c>
      <c r="L13" s="7" t="s">
        <v>45</v>
      </c>
      <c r="M13" s="7" t="s">
        <v>74</v>
      </c>
    </row>
    <row r="14" customFormat="false" ht="23.85" hidden="false" customHeight="false" outlineLevel="0" collapsed="false">
      <c r="A14" s="5" t="s">
        <v>75</v>
      </c>
      <c r="B14" s="6" t="s">
        <v>76</v>
      </c>
      <c r="C14" s="7" t="s">
        <v>18</v>
      </c>
      <c r="D14" s="7" t="s">
        <v>77</v>
      </c>
      <c r="E14" s="7" t="s">
        <v>78</v>
      </c>
      <c r="F14" s="7" t="s">
        <v>79</v>
      </c>
      <c r="G14" s="8" t="n">
        <v>2</v>
      </c>
      <c r="H14" s="8" t="n">
        <v>4</v>
      </c>
      <c r="I14" s="9" t="n">
        <f aca="false">G14*H14</f>
        <v>8</v>
      </c>
      <c r="J14" s="9" t="str">
        <f aca="false">IF(AND(G14&gt;=4,H14&gt;=4),"Gestionar de cerca",IF(AND(G14&gt;=4,H14&lt;4),"Mantener satisfecho",IF(AND(G14&lt;4,H14&gt;=4),"Mantener informado","Monitorear")))</f>
        <v>Mantener informado</v>
      </c>
      <c r="K14" s="7" t="s">
        <v>80</v>
      </c>
      <c r="L14" s="7" t="s">
        <v>31</v>
      </c>
      <c r="M14" s="7" t="s">
        <v>74</v>
      </c>
    </row>
    <row r="15" customFormat="false" ht="23.85" hidden="false" customHeight="false" outlineLevel="0" collapsed="false">
      <c r="A15" s="5" t="s">
        <v>81</v>
      </c>
      <c r="B15" s="6" t="s">
        <v>82</v>
      </c>
      <c r="C15" s="7" t="s">
        <v>18</v>
      </c>
      <c r="D15" s="7" t="s">
        <v>83</v>
      </c>
      <c r="E15" s="7" t="s">
        <v>84</v>
      </c>
      <c r="F15" s="7" t="s">
        <v>85</v>
      </c>
      <c r="G15" s="8" t="n">
        <v>3</v>
      </c>
      <c r="H15" s="8" t="n">
        <v>5</v>
      </c>
      <c r="I15" s="9" t="n">
        <f aca="false">G15*H15</f>
        <v>15</v>
      </c>
      <c r="J15" s="9" t="str">
        <f aca="false">IF(AND(G15&gt;=4,H15&gt;=4),"Gestionar de cerca",IF(AND(G15&gt;=4,H15&lt;4),"Mantener satisfecho",IF(AND(G15&lt;4,H15&gt;=4),"Mantener informado","Monitorear")))</f>
        <v>Mantener informado</v>
      </c>
      <c r="K15" s="7" t="s">
        <v>86</v>
      </c>
      <c r="L15" s="7" t="s">
        <v>87</v>
      </c>
      <c r="M15" s="7" t="s">
        <v>88</v>
      </c>
    </row>
    <row r="16" customFormat="false" ht="32.8" hidden="false" customHeight="false" outlineLevel="0" collapsed="false">
      <c r="A16" s="5" t="s">
        <v>89</v>
      </c>
      <c r="B16" s="6" t="s">
        <v>90</v>
      </c>
      <c r="C16" s="7" t="s">
        <v>54</v>
      </c>
      <c r="D16" s="7" t="s">
        <v>91</v>
      </c>
      <c r="E16" s="7" t="s">
        <v>92</v>
      </c>
      <c r="F16" s="7" t="s">
        <v>93</v>
      </c>
      <c r="G16" s="8" t="n">
        <v>5</v>
      </c>
      <c r="H16" s="8" t="n">
        <v>4</v>
      </c>
      <c r="I16" s="9" t="n">
        <f aca="false">G16*H16</f>
        <v>20</v>
      </c>
      <c r="J16" s="9" t="str">
        <f aca="false">IF(AND(G16&gt;=4,H16&gt;=4),"Gestionar de cerca",IF(AND(G16&gt;=4,H16&lt;4),"Mantener satisfecho",IF(AND(G16&lt;4,H16&gt;=4),"Mantener informado","Monitorear")))</f>
        <v>Gestionar de cerca</v>
      </c>
      <c r="K16" s="7" t="s">
        <v>94</v>
      </c>
      <c r="L16" s="7" t="s">
        <v>87</v>
      </c>
      <c r="M16" s="7" t="s">
        <v>32</v>
      </c>
    </row>
    <row r="18" customFormat="false" ht="15" hidden="false" customHeight="false" outlineLevel="0" collapsed="false">
      <c r="B18" s="10" t="s">
        <v>95</v>
      </c>
      <c r="G18" s="10" t="n">
        <f aca="false">COUNTA(A6:A16)</f>
        <v>11</v>
      </c>
    </row>
    <row r="19" customFormat="false" ht="15" hidden="false" customHeight="false" outlineLevel="0" collapsed="false">
      <c r="B19" s="10" t="s">
        <v>96</v>
      </c>
      <c r="G19" s="10" t="n">
        <f aca="false">COUNTIF(J6:J16,"Gestionar de cerca")</f>
        <v>4</v>
      </c>
    </row>
    <row r="21" customFormat="false" ht="15" hidden="false" customHeight="false" outlineLevel="0" collapsed="false">
      <c r="B21" s="3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7" min="2" style="0" width="22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4" customFormat="false" ht="21.75" hidden="false" customHeight="true" outlineLevel="0" collapsed="false">
      <c r="B4" s="11" t="s">
        <v>100</v>
      </c>
      <c r="C4" s="11"/>
      <c r="D4" s="11"/>
      <c r="E4" s="12" t="s">
        <v>101</v>
      </c>
      <c r="F4" s="12"/>
      <c r="G4" s="12"/>
    </row>
    <row r="5" customFormat="false" ht="21.75" hidden="false" customHeight="true" outlineLevel="0" collapsed="false">
      <c r="A5" s="13" t="s">
        <v>102</v>
      </c>
      <c r="B5" s="14" t="s">
        <v>103</v>
      </c>
      <c r="C5" s="14"/>
      <c r="D5" s="14"/>
      <c r="E5" s="15" t="s">
        <v>104</v>
      </c>
      <c r="F5" s="15"/>
      <c r="G5" s="15"/>
    </row>
    <row r="6" customFormat="false" ht="21.75" hidden="false" customHeight="true" outlineLevel="0" collapsed="false">
      <c r="A6" s="13" t="s">
        <v>105</v>
      </c>
      <c r="B6" s="16" t="s">
        <v>106</v>
      </c>
      <c r="C6" s="16"/>
      <c r="D6" s="16"/>
      <c r="E6" s="17" t="s">
        <v>107</v>
      </c>
      <c r="F6" s="17"/>
      <c r="G6" s="17"/>
    </row>
    <row r="7" customFormat="false" ht="21.75" hidden="false" customHeight="true" outlineLevel="0" collapsed="false">
      <c r="A7" s="13" t="s">
        <v>108</v>
      </c>
      <c r="B7" s="16"/>
      <c r="C7" s="16"/>
      <c r="D7" s="16"/>
      <c r="E7" s="17"/>
      <c r="F7" s="17"/>
      <c r="G7" s="17"/>
    </row>
    <row r="8" customFormat="false" ht="21.75" hidden="false" customHeight="true" outlineLevel="0" collapsed="false">
      <c r="A8" s="13" t="s">
        <v>109</v>
      </c>
      <c r="B8" s="16"/>
      <c r="C8" s="16"/>
      <c r="D8" s="16"/>
      <c r="E8" s="17"/>
      <c r="F8" s="17"/>
      <c r="G8" s="17"/>
    </row>
    <row r="9" customFormat="false" ht="21.75" hidden="false" customHeight="true" outlineLevel="0" collapsed="false">
      <c r="A9" s="13" t="s">
        <v>110</v>
      </c>
    </row>
    <row r="10" customFormat="false" ht="21.75" hidden="false" customHeight="true" outlineLevel="0" collapsed="false">
      <c r="B10" s="18" t="s">
        <v>111</v>
      </c>
      <c r="C10" s="18"/>
      <c r="D10" s="18"/>
      <c r="E10" s="19" t="s">
        <v>112</v>
      </c>
      <c r="F10" s="19"/>
      <c r="G10" s="19"/>
    </row>
    <row r="11" customFormat="false" ht="21.75" hidden="false" customHeight="true" outlineLevel="0" collapsed="false">
      <c r="B11" s="20" t="s">
        <v>113</v>
      </c>
      <c r="C11" s="20"/>
      <c r="D11" s="20"/>
      <c r="E11" s="21" t="s">
        <v>114</v>
      </c>
      <c r="F11" s="21"/>
      <c r="G11" s="21"/>
    </row>
    <row r="12" customFormat="false" ht="21.75" hidden="false" customHeight="true" outlineLevel="0" collapsed="false">
      <c r="B12" s="22" t="s">
        <v>115</v>
      </c>
      <c r="C12" s="22"/>
      <c r="D12" s="22"/>
      <c r="E12" s="23" t="s">
        <v>116</v>
      </c>
      <c r="F12" s="23"/>
      <c r="G12" s="23"/>
    </row>
    <row r="13" customFormat="false" ht="21.75" hidden="false" customHeight="true" outlineLevel="0" collapsed="false">
      <c r="B13" s="22"/>
      <c r="C13" s="22"/>
      <c r="D13" s="22"/>
      <c r="E13" s="23"/>
      <c r="F13" s="23"/>
      <c r="G13" s="23"/>
    </row>
    <row r="14" customFormat="false" ht="21.75" hidden="false" customHeight="true" outlineLevel="0" collapsed="false">
      <c r="B14" s="22"/>
      <c r="C14" s="22"/>
      <c r="D14" s="22"/>
      <c r="E14" s="23"/>
      <c r="F14" s="23"/>
      <c r="G14" s="23"/>
    </row>
    <row r="15" customFormat="false" ht="21.75" hidden="false" customHeight="true" outlineLevel="0" collapsed="false"/>
    <row r="16" customFormat="false" ht="15" hidden="false" customHeight="false" outlineLevel="0" collapsed="false">
      <c r="D16" s="13" t="s">
        <v>117</v>
      </c>
    </row>
    <row r="18" customFormat="false" ht="15" hidden="false" customHeight="false" outlineLevel="0" collapsed="false">
      <c r="B18" s="3" t="s">
        <v>118</v>
      </c>
    </row>
    <row r="19" customFormat="false" ht="15" hidden="false" customHeight="false" outlineLevel="0" collapsed="false">
      <c r="B19" s="3" t="s">
        <v>119</v>
      </c>
    </row>
  </sheetData>
  <mergeCells count="12">
    <mergeCell ref="B4:D4"/>
    <mergeCell ref="E4:G4"/>
    <mergeCell ref="B5:D5"/>
    <mergeCell ref="E5:G5"/>
    <mergeCell ref="B6:D8"/>
    <mergeCell ref="E6:G8"/>
    <mergeCell ref="B10:D10"/>
    <mergeCell ref="E10:G10"/>
    <mergeCell ref="B11:D11"/>
    <mergeCell ref="E11:G11"/>
    <mergeCell ref="B12:D14"/>
    <mergeCell ref="E12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2026-10-16T00:18:09Z</dcterms:created>
  <dc:creator>openpyxl</dc:creator>
  <dc:description/>
  <dc:language>en-US</dc:language>
  <cp:lastModifiedBy/>
  <dcterms:modified xsi:type="dcterms:W3CDTF">2026-10-16T00:18:09Z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