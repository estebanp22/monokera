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 Riesgos" sheetId="1" state="visible" r:id="rId3"/>
    <sheet name="Mapa de Calor" sheetId="2" state="visible" r:id="rId4"/>
    <sheet name="Registro de Inciden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<sst xmlns="http://schemas.openxmlformats.org/spreadsheetml/2006/main" count="252" uniqueCount="188">
  <si>
    <t xml:space="preserve">MATRIZ DE RIESGOS INICIAL - PROYECTO MONOKERA APP</t>
  </si>
  <si>
    <t xml:space="preserve">Caso 10 - Monokera | Fase Técnica 1: Análisis | Líder: Santiago Arias Mosquera | Versión 1.0 - Corte: 17 de septiembre de 2026</t>
  </si>
  <si>
    <t xml:space="preserve">Probabilidad e Impacto en escala 1 a 5. Exposición = Probabilidad x Impacto. Nivel: 1-4 Bajo | 5-9 Medio | 10-16 Alto | 17-25 Extremo. Actualización obligatoria cada dos semanas.</t>
  </si>
  <si>
    <t xml:space="preserve">ID</t>
  </si>
  <si>
    <t xml:space="preserve">Categoría</t>
  </si>
  <si>
    <t xml:space="preserve">Descripción del riesgo</t>
  </si>
  <si>
    <t xml:space="preserve">Causa raíz</t>
  </si>
  <si>
    <t xml:space="preserve">Consecuencia si se materializa</t>
  </si>
  <si>
    <t xml:space="preserve">Prob. (1-5)</t>
  </si>
  <si>
    <t xml:space="preserve">Impacto (1-5)</t>
  </si>
  <si>
    <t xml:space="preserve">Exposición</t>
  </si>
  <si>
    <t xml:space="preserve">Nivel</t>
  </si>
  <si>
    <t xml:space="preserve">Estrategia</t>
  </si>
  <si>
    <t xml:space="preserve">Acciones preventivas</t>
  </si>
  <si>
    <t xml:space="preserve">Plan de contingencia</t>
  </si>
  <si>
    <t xml:space="preserve">Responsable</t>
  </si>
  <si>
    <t xml:space="preserve">Estado</t>
  </si>
  <si>
    <t xml:space="preserve">Última revisión</t>
  </si>
  <si>
    <t xml:space="preserve">R-01</t>
  </si>
  <si>
    <t xml:space="preserve">Regulatorio</t>
  </si>
  <si>
    <t xml:space="preserve">La SFC emite una nueva circular durante la ejecución que obliga a modificar la información contractual mostrada en el prototipo.</t>
  </si>
  <si>
    <t xml:space="preserve">El caso declara explicitamente la posibilidad de cambios en la regulación de seguros y en la circular de la SFC.</t>
  </si>
  <si>
    <t xml:space="preserve">Re-trabajo en pantallas de coberturas y exclusiones, retraso en el cierre de Diseño y sobrecosto en asesoria legal.</t>
  </si>
  <si>
    <t xml:space="preserve">Mitigar</t>
  </si>
  <si>
    <t xml:space="preserve">Monitoreo quincenal de circulares de la SFC a cargo del líder de Análisis. Diseño modular del microcopy contractual para que un cambio normativo afecte componentes aislados y no toda la interfaz.</t>
  </si>
  <si>
    <t xml:space="preserve">Activar la reserva de contingencia regulatoria de $9.990.000 y la holgura X-01 del cronograma. Re-priorizar el backlog dejando fuera del MVP las historias 'Could have'.</t>
  </si>
  <si>
    <t xml:space="preserve">Santiago Arias Mosquera</t>
  </si>
  <si>
    <t xml:space="preserve">Activo</t>
  </si>
  <si>
    <t xml:space="preserve">17/09/2026</t>
  </si>
  <si>
    <t xml:space="preserve">R-02</t>
  </si>
  <si>
    <t xml:space="preserve">Stakeholders</t>
  </si>
  <si>
    <t xml:space="preserve">El área legal exige revisiones sucesivas del microcopy contractual, generando ciclos de aprobación más largos de lo planificado.</t>
  </si>
  <si>
    <t xml:space="preserve">El caso señala intervención constante del área legal y actuarial, y sensibilidad a riesgos legales en información contractual.</t>
  </si>
  <si>
    <t xml:space="preserve">Retraso en el cierre de fases, consumo anticipado del presupuesto de asesoria legal y bloqueo de historias dependientes.</t>
  </si>
  <si>
    <t xml:space="preserve">Definir un único punto de control formal de validación legal al cierre de Diseño, con lista de verificacion acordada previamente. Involucrar a Legal desde el Análisis para evitar hallazgos tardios.</t>
  </si>
  <si>
    <t xml:space="preserve">Escalar a la Dirección General para fijar un plazo máximo de respuesta. Congelar el clausulado validado y documentar los cambios posteriores como solicitudes formales de cambio.</t>
  </si>
  <si>
    <t xml:space="preserve">David Mauricio Torres</t>
  </si>
  <si>
    <t xml:space="preserve">Materializado</t>
  </si>
  <si>
    <t xml:space="preserve">R-03</t>
  </si>
  <si>
    <t xml:space="preserve">Técnico / Actuarial</t>
  </si>
  <si>
    <t xml:space="preserve">El simulador de planes se diseña de forma que expone o altera tarifas de primas reales, violando una restriccion técnica del caso.</t>
  </si>
  <si>
    <t xml:space="preserve">Presión de Marketing por mostrar valores concretos y atractivos frente a la prohibicion actuarial de tocar el modelo.</t>
  </si>
  <si>
    <t xml:space="preserve">Rechazo del entregable por parte del área actuarial, re-diseño completo del componente crítico del MVP.</t>
  </si>
  <si>
    <t xml:space="preserve">Evitar</t>
  </si>
  <si>
    <t xml:space="preserve">El simulador opera unicamente sobre rangos referenciales y escenarios ilustrativos, nunca sobre tarifas productivas. Validación obligatoria del consultor actuarial externo antes de pasar a Implementación.</t>
  </si>
  <si>
    <t xml:space="preserve">Sustituir la simulación numérica por una comparacion cualitativa de coberturas y derivar el cálculo exacto a un asesor.</t>
  </si>
  <si>
    <t xml:space="preserve">R-04</t>
  </si>
  <si>
    <t xml:space="preserve">Alcance</t>
  </si>
  <si>
    <t xml:space="preserve">Marketing solicita funcionalidades adicionales no previstas para acelerar la reducción del abandono de pólizas.</t>
  </si>
  <si>
    <t xml:space="preserve">Expectativas altas de reducción inmediata del abandono y presión por un lanzamiento rápido.</t>
  </si>
  <si>
    <t xml:space="preserve">Crecimiento no controlado del alcance, desviación presupuestal por encima del 10% e incumplimiento de la fecha de entrega.</t>
  </si>
  <si>
    <t xml:space="preserve">Alcance del MVP congelado y documentado en el acta de constitución. Toda solicitud nueva entra por el procedimiento formal de control de cambios con análisis de impacto en tiempo y costo.</t>
  </si>
  <si>
    <t xml:space="preserve">Negociar intercambio: una historia nueva entra solo si sale una de igual esfuerzo. Documentar lo excluido como alcance de una fase posterior.</t>
  </si>
  <si>
    <t xml:space="preserve">R-05</t>
  </si>
  <si>
    <t xml:space="preserve">Presupuesto</t>
  </si>
  <si>
    <t xml:space="preserve">La desviación presupuestal acumulada supera el límite del 10% permitido por el cliente.</t>
  </si>
  <si>
    <t xml:space="preserve">Sobrecostos en asesoria legal y actuarial, o re-trabajo derivado de cambios regulatorios no previstos.</t>
  </si>
  <si>
    <t xml:space="preserve">Incumplimiento de una condición financiera explicita del caso e impacto directo en la evaluación del proyecto.</t>
  </si>
  <si>
    <t xml:space="preserve">Seguimiento quincenal obligatorio del gasto con cálculo del indicador. Umbral de alerta temprana fijado en 7% para actuar antes de llegar al límite.</t>
  </si>
  <si>
    <t xml:space="preserve">Congelar contrataciones externas no críticas, reasignar horas internas y ejecutar la reserva de contingencia con justificación formal ante la Dirección General.</t>
  </si>
  <si>
    <t xml:space="preserve">Marlon Andres Campo</t>
  </si>
  <si>
    <t xml:space="preserve">R-06</t>
  </si>
  <si>
    <t xml:space="preserve">Calidad / Usuario</t>
  </si>
  <si>
    <t xml:space="preserve">Las pruebas de usabilidad revelan que los asegurados siguen sin comprender sus coberturas y exclusiones.</t>
  </si>
  <si>
    <t xml:space="preserve">Tensión no resuelta entre la precision jurídica exigida por Legal y la claridad que necesita el usuario final.</t>
  </si>
  <si>
    <t xml:space="preserve">El objetivo central del proyecto no se cumple: el prototipo no reduce el abandono ni las consultas a soporte.</t>
  </si>
  <si>
    <t xml:space="preserve">Doble capa de información: resumen en lenguaje claro visible por defecto y clausulado literal accesible en un segundo nivel. Validación temprana de contenidos con 3 asegurados antes de construir las 45 pantallas.</t>
  </si>
  <si>
    <t xml:space="preserve">Activar la holgura X-02 del cronograma para re-diseño de contenidos y reasignar horas del especialista en microcopy regulado.</t>
  </si>
  <si>
    <t xml:space="preserve">R-07</t>
  </si>
  <si>
    <t xml:space="preserve">Cronograma</t>
  </si>
  <si>
    <t xml:space="preserve">El retraso acumulado en la fase de Análisis desplaza el inicio de Diseño y comprime las fases finales.</t>
  </si>
  <si>
    <t xml:space="preserve">Subestimación del esfuerzo de elicitación con cuatro áreas de interés en tensión.</t>
  </si>
  <si>
    <t xml:space="preserve">Compresion de las fases de Pruebas e Implantación, con riesgo de entregar sin evidencia de usabilidad.</t>
  </si>
  <si>
    <t xml:space="preserve">Solapamiento planificado entre fases consecutivas en el cronograma. Revisión del avance ponderado en cada seguimiento quincenal.</t>
  </si>
  <si>
    <t xml:space="preserve">Ejecutar las fases de Diseño e Implementación en paralelo parcial y reducir el alcance a las historias 'Must have'.</t>
  </si>
  <si>
    <t xml:space="preserve">R-08</t>
  </si>
  <si>
    <t xml:space="preserve">Equipo</t>
  </si>
  <si>
    <t xml:space="preserve">Conflictos internos o desbalance de carga entre los integrantes por la rotacion de liderazgo.</t>
  </si>
  <si>
    <t xml:space="preserve">Cada integrante lidera una fase distinta además de sostener una responsabilidad administrativa transversal.</t>
  </si>
  <si>
    <t xml:space="preserve">Caida del cumplimiento de sprint, pérdida de trazabilidad documental y deterioro de la dinamica del equipo.</t>
  </si>
  <si>
    <t xml:space="preserve">Bitácora de proyecto con asignación explicita de tareas. Reuniones de sincronizacion dos veces por semana y canal de comunicación único del equipo.</t>
  </si>
  <si>
    <t xml:space="preserve">Redistribucion de tareas acordada en reunión extraordinaria y registro del acuerdo en la bitácora con seguimiento en el siguiente corte.</t>
  </si>
  <si>
    <t xml:space="preserve">R-09</t>
  </si>
  <si>
    <t xml:space="preserve">Cliente</t>
  </si>
  <si>
    <t xml:space="preserve">El cliente manifiesta inconformidad con el avance o con la dirección del prototipo en un corte de seguimiento.</t>
  </si>
  <si>
    <t xml:space="preserve">Brecha entre las expectativas de Marketing y el enfoque de cumplimiento normativo adoptado por el equipo.</t>
  </si>
  <si>
    <t xml:space="preserve">Pérdida de confianza, solicitudes de re-trabajo y afectacion del criterio de evaluación de gestión del cliente.</t>
  </si>
  <si>
    <t xml:space="preserve">Presentación de avances navegables en cada corte, no solo documentos. Validación formal del alcance del MVP con acta firmada al cierre del Análisis.</t>
  </si>
  <si>
    <t xml:space="preserve">Reunión extraordinaria de realineacion con acta de acuerdos y plan de recuperacion con fechas comprometidas.</t>
  </si>
  <si>
    <t xml:space="preserve">R-10</t>
  </si>
  <si>
    <t xml:space="preserve">Técnico</t>
  </si>
  <si>
    <t xml:space="preserve">Inconsistencia entre el prototipo y la plataforma de Insurance-as-a-Service existente de Monokera.</t>
  </si>
  <si>
    <t xml:space="preserve">Integración obligatoria con la plataforma actual declarada como restriccion técnica del caso.</t>
  </si>
  <si>
    <t xml:space="preserve">Rechazo del área de Producto y re-diseño de la arquitectura de información y del mapa de navegación.</t>
  </si>
  <si>
    <t xml:space="preserve">Revisión conjunta de la arquitectura de información con el área de Producto en el arranque de la fase de Diseño.</t>
  </si>
  <si>
    <t xml:space="preserve">Ajustar el modelo de navegación conservando el Design System ya construido para limitar el re-trabajo a la capa de estructura.</t>
  </si>
  <si>
    <t xml:space="preserve">Esteban Pineda Ardila</t>
  </si>
  <si>
    <t xml:space="preserve">R-11</t>
  </si>
  <si>
    <t xml:space="preserve">El cliente aplica un recorte presupuestal durante la ejecución del proyecto.</t>
  </si>
  <si>
    <t xml:space="preserve">Situacion caotica simulada prevista explicitamente en el numeral 2.8 del documento del caso.</t>
  </si>
  <si>
    <t xml:space="preserve">Necesidad de re-planear el alcance y reducir contrataciones externas ya comprometidas.</t>
  </si>
  <si>
    <t xml:space="preserve">Aceptar</t>
  </si>
  <si>
    <t xml:space="preserve">Contratación externa escalonada por fase en lugar de un único compromiso inicial, para conservar capacidad de reaccion.</t>
  </si>
  <si>
    <t xml:space="preserve">Re-planeación inmediata priorizando 'Must have', sustitución de consultoría externa por horas internas y renegociacion formal del alcance.</t>
  </si>
  <si>
    <t xml:space="preserve">R-12</t>
  </si>
  <si>
    <t xml:space="preserve">Calidad</t>
  </si>
  <si>
    <t xml:space="preserve">Fallos críticos detectados en las pruebas de usabilidad sobre el simulador de planes.</t>
  </si>
  <si>
    <t xml:space="preserve">Es el componente de mayor complejidad conceptual del MVP y el más restringido por Actuaría.</t>
  </si>
  <si>
    <t xml:space="preserve">Re-trabajo en la fase final del proyecto, cuando ya no hay holgura de cronograma disponible.</t>
  </si>
  <si>
    <t xml:space="preserve">Prueba anticipada del simulador con 3 usuarios en la fase de Diseño, antes de construir la versión completa.</t>
  </si>
  <si>
    <t xml:space="preserve">Reducir el simulador a su versión más simple validada y documentar las funciones diferidas como alcance futuro.</t>
  </si>
  <si>
    <t xml:space="preserve">R-13</t>
  </si>
  <si>
    <t xml:space="preserve">Pérdida de trazabilidad documental entre fases por la rotacion de liderazgo.</t>
  </si>
  <si>
    <t xml:space="preserve">Cada cambio de líder implica transferencia de contexto y criterios de decisión.</t>
  </si>
  <si>
    <t xml:space="preserve">Afectacion directa del criterio de evaluación de documentación y dificultad para sustentar decisiones ante el cliente.</t>
  </si>
  <si>
    <t xml:space="preserve">Repositorio documental único con control de versiones y acta de cierre obligatoria al finalizar cada fase, firmada por el líder saliente y el entrante.</t>
  </si>
  <si>
    <t xml:space="preserve">Reconstruccion documental a partir de la bitácora y asignación temporal del redactor técnico a la fase afectada.</t>
  </si>
  <si>
    <t xml:space="preserve">R-14</t>
  </si>
  <si>
    <t xml:space="preserve">Requerimientos urgentes introducidos por el cliente fuera del ciclo de planificación del sprint.</t>
  </si>
  <si>
    <t xml:space="preserve">Situacion caotica simulada prevista en el numeral 2.8 del documento del caso.</t>
  </si>
  <si>
    <t xml:space="preserve">Interrupcion del sprint en curso y caida del indicador de cumplimiento por debajo del 80%.</t>
  </si>
  <si>
    <t xml:space="preserve">Politica acordada de sprint protegido: lo urgente entra al sprint siguiente salvo decisión expresa de la Dirección General.</t>
  </si>
  <si>
    <t xml:space="preserve">Si el requerimiento se acepta, se retira del sprint una historia de esfuerzo equivalente y se documenta el intercambio en la bitácora.</t>
  </si>
  <si>
    <t xml:space="preserve">R-15</t>
  </si>
  <si>
    <t xml:space="preserve">Baja participación o desercion de los asegurados convocados a las pruebas de usabilidad.</t>
  </si>
  <si>
    <t xml:space="preserve">Dependencia de usuarios reales externos a la organización, sin vinculo contractual con el proyecto.</t>
  </si>
  <si>
    <t xml:space="preserve">Evidencia insuficiente de usabilidad, uno de los entregables finales obligatorios del proyecto.</t>
  </si>
  <si>
    <t xml:space="preserve">Transferir</t>
  </si>
  <si>
    <t xml:space="preserve">Sobre-reclutamiento del 30% y uso de una plataforma de pruebas remotas no moderadas como canal alterno.</t>
  </si>
  <si>
    <t xml:space="preserve">Sustituir sesiones presenciales por pruebas remotas y complementar con evaluación heurística de expertos.</t>
  </si>
  <si>
    <t xml:space="preserve">RESUMEN DE LA EXPOSICIÓN AL RIESGO</t>
  </si>
  <si>
    <t xml:space="preserve">Total de riesgos identificados:</t>
  </si>
  <si>
    <t xml:space="preserve">Riesgos de nivel Extremo:</t>
  </si>
  <si>
    <t xml:space="preserve">Riesgos de nivel Alto:</t>
  </si>
  <si>
    <t xml:space="preserve">Riesgos de nivel Medio:</t>
  </si>
  <si>
    <t xml:space="preserve">Riesgos de nivel Bajo:</t>
  </si>
  <si>
    <t xml:space="preserve">Riesgos ya materializados:</t>
  </si>
  <si>
    <t xml:space="preserve">Exposición promedio del proyecto:</t>
  </si>
  <si>
    <t xml:space="preserve">Los riesgos R-01 (cambio regulatorio de la SFC) y R-02 (ciclos de validación legal) son los de mayor exposición y concentran la reserva de contingencia del presupuesto. R-02 y R-07 ya se materializaron y están documentados en la hoja 'Registro de Incidentes'.</t>
  </si>
  <si>
    <t xml:space="preserve">MAPA DE CALOR DE RIESGOS (PROBABILIDAD x IMPACTO)</t>
  </si>
  <si>
    <t xml:space="preserve">Ubicacion de cada riesgo según su probabilidad de ocurrencia y su impacto sobre el proyecto.</t>
  </si>
  <si>
    <t xml:space="preserve">Prob. \ Impacto</t>
  </si>
  <si>
    <t xml:space="preserve">1 - Muy bajo</t>
  </si>
  <si>
    <t xml:space="preserve">2 - Bajo</t>
  </si>
  <si>
    <t xml:space="preserve">3 - Moderado</t>
  </si>
  <si>
    <t xml:space="preserve">4 - Alto</t>
  </si>
  <si>
    <t xml:space="preserve">5 - Crítico</t>
  </si>
  <si>
    <t xml:space="preserve">5 - Casi seguro</t>
  </si>
  <si>
    <t xml:space="preserve">4 - Probable</t>
  </si>
  <si>
    <t xml:space="preserve">R-04
R-07</t>
  </si>
  <si>
    <t xml:space="preserve">3 - Posible</t>
  </si>
  <si>
    <t xml:space="preserve">R-08
R-13
R-15</t>
  </si>
  <si>
    <t xml:space="preserve">R-09
R-10
R-12</t>
  </si>
  <si>
    <t xml:space="preserve">R-03
R-05
R-06</t>
  </si>
  <si>
    <t xml:space="preserve">2 - Improbable</t>
  </si>
  <si>
    <t xml:space="preserve">1 - Raro</t>
  </si>
  <si>
    <t xml:space="preserve">Convención de niveles:</t>
  </si>
  <si>
    <t xml:space="preserve">Bajo (1 a 4)</t>
  </si>
  <si>
    <t xml:space="preserve">Medio (5 a 9)</t>
  </si>
  <si>
    <t xml:space="preserve">Alto (10 a 16)</t>
  </si>
  <si>
    <t xml:space="preserve">Extremo (17 a 25)</t>
  </si>
  <si>
    <t xml:space="preserve">Lectura: la concentracion de riesgos en la franja de impacto 4 y 5 refleja que en este caso casi todo fallo relevante termina afectando el cumplimiento normativo o la fecha de entrega. Por eso la estrategia dominante es Mitigar y no Aceptar.</t>
  </si>
  <si>
    <t xml:space="preserve">REGISTRO DE INCIDENTES (RIESGOS MATERIALIZADOS)</t>
  </si>
  <si>
    <t xml:space="preserve">Conforme al numeral 2.9 del caso: todo riesgo que se materializa debe documentarse como incidente y registrarse su tratamiento.</t>
  </si>
  <si>
    <t xml:space="preserve">ID Incidente</t>
  </si>
  <si>
    <t xml:space="preserve">Riesgo asociado</t>
  </si>
  <si>
    <t xml:space="preserve">Fecha de materializacion</t>
  </si>
  <si>
    <t xml:space="preserve">Descripción del hecho</t>
  </si>
  <si>
    <t xml:space="preserve">Impacto real medido</t>
  </si>
  <si>
    <t xml:space="preserve">Tratamiento aplicado</t>
  </si>
  <si>
    <t xml:space="preserve">Fecha de cierre</t>
  </si>
  <si>
    <t xml:space="preserve">Lección aprendida</t>
  </si>
  <si>
    <t xml:space="preserve">INC-01</t>
  </si>
  <si>
    <t xml:space="preserve">14/09/2026</t>
  </si>
  <si>
    <t xml:space="preserve">El área legal solicitó una segunda ronda completa de revisión de los textos de exclusiones, no prevista en la planificación inicial.</t>
  </si>
  <si>
    <t xml:space="preserve">Sobrecosto de $2.900.000 en horas de asesoria legal en la quincena Q2 y retraso de 3 días hábiles en el cierre de las historias HU-13 y HU-17.</t>
  </si>
  <si>
    <t xml:space="preserve">Se acordó con Legal una lista de verificacion única y un único punto de control formal al cierre de Diseño. El sobrecosto se absorbió dentro de la reserva de contingencia sin superar el límite del 10%.</t>
  </si>
  <si>
    <t xml:space="preserve">22/09/2026</t>
  </si>
  <si>
    <t xml:space="preserve">En tratamiento</t>
  </si>
  <si>
    <t xml:space="preserve">Involucrar a Legal desde la elicitación de requisitos y no solo en la validación final; el costo de una revisión tardia es varias veces el de una consulta temprana.</t>
  </si>
  <si>
    <t xml:space="preserve">INC-02</t>
  </si>
  <si>
    <t xml:space="preserve">16/09/2026</t>
  </si>
  <si>
    <t xml:space="preserve">Las historias HU-10, HU-11, HU-22 y HU-23 no se completaron dentro de sus sprints por subestimación del esfuerzo de elicitación con cuatro áreas en tensión.</t>
  </si>
  <si>
    <t xml:space="preserve">Cumplimiento de sprint de 81,8% en el Sprint 1 y 83,3% en el Sprint 2: por encima de la meta del 80%, pero con deuda acumulada de 4 historias.</t>
  </si>
  <si>
    <t xml:space="preserve">Traslado de las cuatro historias al Sprint 3 y reducción del compromiso neto de historias nuevas de ese sprint. Se ajustó la escala de estimacion de las historias que dependen de validación externa.</t>
  </si>
  <si>
    <t xml:space="preserve">25/09/2026</t>
  </si>
  <si>
    <t xml:space="preserve">Las historias que dependen de la aprobación de un tercero deben estimarse incluyendo el tiempo de espera de ese tercero, no solo el esfuerzo propio del equipo.</t>
  </si>
  <si>
    <t xml:space="preserve">Las filas siguientes se diligencian a medida que se materializan nuevos riesgos. Cada incidente debe quedar vinculado a un riesgo de la matriz; si no corresponde a ninguno, el riesgo debe agregarse a la matriz en la revisión de la quincena.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</si>
</sst>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FFC7CE"/>
        <bgColor rgb="FFFFE699"/>
      </patternFill>
    </fill>
    <fill>
      <patternFill patternType="solid">
        <fgColor rgb="FFFFE699"/>
        <bgColor rgb="FFFFFFCC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5" min="4" style="0" width="46"/>
    <col collapsed="false" customWidth="true" hidden="false" outlineLevel="0" max="7" min="6" style="0" width="10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2" min="11" style="0" width="58"/>
    <col collapsed="false" customWidth="true" hidden="false" outlineLevel="0" max="13" min="13" style="0" width="24"/>
    <col collapsed="false" customWidth="true" hidden="false" outlineLevel="0" max="14" min="14" style="0" width="15"/>
    <col collapsed="false" customWidth="true" hidden="false" outlineLevel="0" max="15" min="15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43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</row>
    <row r="6" customFormat="false" ht="32.8" hidden="false" customHeight="false" outlineLevel="0" collapsed="false">
      <c r="A6" s="5" t="s">
        <v>18</v>
      </c>
      <c r="B6" s="6" t="s">
        <v>19</v>
      </c>
      <c r="C6" s="7" t="s">
        <v>20</v>
      </c>
      <c r="D6" s="7" t="s">
        <v>21</v>
      </c>
      <c r="E6" s="7" t="s">
        <v>22</v>
      </c>
      <c r="F6" s="8" t="n">
        <v>4</v>
      </c>
      <c r="G6" s="8" t="n">
        <v>5</v>
      </c>
      <c r="H6" s="5" t="n">
        <f aca="false">F6*G6</f>
        <v>20</v>
      </c>
      <c r="I6" s="9" t="str">
        <f aca="false">IF(H6&gt;=17,"Extremo",IF(H6&gt;=10,"Alto",IF(H6&gt;=5,"Medio","Bajo")))</f>
        <v>Extremo</v>
      </c>
      <c r="J6" s="10" t="s">
        <v>23</v>
      </c>
      <c r="K6" s="7" t="s">
        <v>24</v>
      </c>
      <c r="L6" s="7" t="s">
        <v>25</v>
      </c>
      <c r="M6" s="6" t="s">
        <v>26</v>
      </c>
      <c r="N6" s="10" t="s">
        <v>27</v>
      </c>
      <c r="O6" s="11" t="s">
        <v>28</v>
      </c>
    </row>
    <row r="7" customFormat="false" ht="32.8" hidden="false" customHeight="false" outlineLevel="0" collapsed="false">
      <c r="A7" s="5" t="s">
        <v>29</v>
      </c>
      <c r="B7" s="6" t="s">
        <v>30</v>
      </c>
      <c r="C7" s="7" t="s">
        <v>31</v>
      </c>
      <c r="D7" s="7" t="s">
        <v>32</v>
      </c>
      <c r="E7" s="7" t="s">
        <v>33</v>
      </c>
      <c r="F7" s="8" t="n">
        <v>5</v>
      </c>
      <c r="G7" s="8" t="n">
        <v>4</v>
      </c>
      <c r="H7" s="5" t="n">
        <f aca="false">F7*G7</f>
        <v>20</v>
      </c>
      <c r="I7" s="9" t="str">
        <f aca="false">IF(H7&gt;=17,"Extremo",IF(H7&gt;=10,"Alto",IF(H7&gt;=5,"Medio","Bajo")))</f>
        <v>Extremo</v>
      </c>
      <c r="J7" s="10" t="s">
        <v>23</v>
      </c>
      <c r="K7" s="7" t="s">
        <v>34</v>
      </c>
      <c r="L7" s="7" t="s">
        <v>35</v>
      </c>
      <c r="M7" s="6" t="s">
        <v>36</v>
      </c>
      <c r="N7" s="12" t="s">
        <v>37</v>
      </c>
      <c r="O7" s="11" t="s">
        <v>28</v>
      </c>
    </row>
    <row r="8" customFormat="false" ht="32.8" hidden="false" customHeight="false" outlineLevel="0" collapsed="false">
      <c r="A8" s="5" t="s">
        <v>38</v>
      </c>
      <c r="B8" s="6" t="s">
        <v>39</v>
      </c>
      <c r="C8" s="7" t="s">
        <v>40</v>
      </c>
      <c r="D8" s="7" t="s">
        <v>41</v>
      </c>
      <c r="E8" s="7" t="s">
        <v>42</v>
      </c>
      <c r="F8" s="8" t="n">
        <v>3</v>
      </c>
      <c r="G8" s="8" t="n">
        <v>5</v>
      </c>
      <c r="H8" s="5" t="n">
        <f aca="false">F8*G8</f>
        <v>15</v>
      </c>
      <c r="I8" s="12" t="str">
        <f aca="false">IF(H8&gt;=17,"Extremo",IF(H8&gt;=10,"Alto",IF(H8&gt;=5,"Medio","Bajo")))</f>
        <v>Alto</v>
      </c>
      <c r="J8" s="10" t="s">
        <v>43</v>
      </c>
      <c r="K8" s="7" t="s">
        <v>44</v>
      </c>
      <c r="L8" s="7" t="s">
        <v>45</v>
      </c>
      <c r="M8" s="6" t="s">
        <v>26</v>
      </c>
      <c r="N8" s="10" t="s">
        <v>27</v>
      </c>
      <c r="O8" s="11" t="s">
        <v>28</v>
      </c>
    </row>
    <row r="9" customFormat="false" ht="32.8" hidden="false" customHeight="false" outlineLevel="0" collapsed="false">
      <c r="A9" s="5" t="s">
        <v>46</v>
      </c>
      <c r="B9" s="6" t="s">
        <v>47</v>
      </c>
      <c r="C9" s="7" t="s">
        <v>48</v>
      </c>
      <c r="D9" s="7" t="s">
        <v>49</v>
      </c>
      <c r="E9" s="7" t="s">
        <v>50</v>
      </c>
      <c r="F9" s="8" t="n">
        <v>4</v>
      </c>
      <c r="G9" s="8" t="n">
        <v>4</v>
      </c>
      <c r="H9" s="5" t="n">
        <f aca="false">F9*G9</f>
        <v>16</v>
      </c>
      <c r="I9" s="12" t="str">
        <f aca="false">IF(H9&gt;=17,"Extremo",IF(H9&gt;=10,"Alto",IF(H9&gt;=5,"Medio","Bajo")))</f>
        <v>Alto</v>
      </c>
      <c r="J9" s="10" t="s">
        <v>23</v>
      </c>
      <c r="K9" s="7" t="s">
        <v>51</v>
      </c>
      <c r="L9" s="7" t="s">
        <v>52</v>
      </c>
      <c r="M9" s="6" t="s">
        <v>36</v>
      </c>
      <c r="N9" s="10" t="s">
        <v>27</v>
      </c>
      <c r="O9" s="11" t="s">
        <v>28</v>
      </c>
    </row>
    <row r="10" customFormat="false" ht="32.8" hidden="false" customHeight="false" outlineLevel="0" collapsed="false">
      <c r="A10" s="5" t="s">
        <v>53</v>
      </c>
      <c r="B10" s="6" t="s">
        <v>54</v>
      </c>
      <c r="C10" s="7" t="s">
        <v>55</v>
      </c>
      <c r="D10" s="7" t="s">
        <v>56</v>
      </c>
      <c r="E10" s="7" t="s">
        <v>57</v>
      </c>
      <c r="F10" s="8" t="n">
        <v>3</v>
      </c>
      <c r="G10" s="8" t="n">
        <v>5</v>
      </c>
      <c r="H10" s="5" t="n">
        <f aca="false">F10*G10</f>
        <v>15</v>
      </c>
      <c r="I10" s="12" t="str">
        <f aca="false">IF(H10&gt;=17,"Extremo",IF(H10&gt;=10,"Alto",IF(H10&gt;=5,"Medio","Bajo")))</f>
        <v>Alto</v>
      </c>
      <c r="J10" s="10" t="s">
        <v>23</v>
      </c>
      <c r="K10" s="7" t="s">
        <v>58</v>
      </c>
      <c r="L10" s="7" t="s">
        <v>59</v>
      </c>
      <c r="M10" s="6" t="s">
        <v>60</v>
      </c>
      <c r="N10" s="10" t="s">
        <v>27</v>
      </c>
      <c r="O10" s="11" t="s">
        <v>28</v>
      </c>
    </row>
    <row r="11" customFormat="false" ht="32.8" hidden="false" customHeight="false" outlineLevel="0" collapsed="false">
      <c r="A11" s="5" t="s">
        <v>61</v>
      </c>
      <c r="B11" s="6" t="s">
        <v>62</v>
      </c>
      <c r="C11" s="7" t="s">
        <v>63</v>
      </c>
      <c r="D11" s="7" t="s">
        <v>64</v>
      </c>
      <c r="E11" s="7" t="s">
        <v>65</v>
      </c>
      <c r="F11" s="8" t="n">
        <v>3</v>
      </c>
      <c r="G11" s="8" t="n">
        <v>5</v>
      </c>
      <c r="H11" s="5" t="n">
        <f aca="false">F11*G11</f>
        <v>15</v>
      </c>
      <c r="I11" s="12" t="str">
        <f aca="false">IF(H11&gt;=17,"Extremo",IF(H11&gt;=10,"Alto",IF(H11&gt;=5,"Medio","Bajo")))</f>
        <v>Alto</v>
      </c>
      <c r="J11" s="10" t="s">
        <v>23</v>
      </c>
      <c r="K11" s="7" t="s">
        <v>66</v>
      </c>
      <c r="L11" s="7" t="s">
        <v>67</v>
      </c>
      <c r="M11" s="6" t="s">
        <v>36</v>
      </c>
      <c r="N11" s="10" t="s">
        <v>27</v>
      </c>
      <c r="O11" s="11" t="s">
        <v>28</v>
      </c>
    </row>
    <row r="12" customFormat="false" ht="22.35" hidden="false" customHeight="false" outlineLevel="0" collapsed="false">
      <c r="A12" s="5" t="s">
        <v>68</v>
      </c>
      <c r="B12" s="6" t="s">
        <v>69</v>
      </c>
      <c r="C12" s="7" t="s">
        <v>70</v>
      </c>
      <c r="D12" s="7" t="s">
        <v>71</v>
      </c>
      <c r="E12" s="7" t="s">
        <v>72</v>
      </c>
      <c r="F12" s="8" t="n">
        <v>4</v>
      </c>
      <c r="G12" s="8" t="n">
        <v>4</v>
      </c>
      <c r="H12" s="5" t="n">
        <f aca="false">F12*G12</f>
        <v>16</v>
      </c>
      <c r="I12" s="12" t="str">
        <f aca="false">IF(H12&gt;=17,"Extremo",IF(H12&gt;=10,"Alto",IF(H12&gt;=5,"Medio","Bajo")))</f>
        <v>Alto</v>
      </c>
      <c r="J12" s="10" t="s">
        <v>23</v>
      </c>
      <c r="K12" s="7" t="s">
        <v>73</v>
      </c>
      <c r="L12" s="7" t="s">
        <v>74</v>
      </c>
      <c r="M12" s="6" t="s">
        <v>60</v>
      </c>
      <c r="N12" s="12" t="s">
        <v>37</v>
      </c>
      <c r="O12" s="11" t="s">
        <v>28</v>
      </c>
    </row>
    <row r="13" customFormat="false" ht="32.8" hidden="false" customHeight="false" outlineLevel="0" collapsed="false">
      <c r="A13" s="5" t="s">
        <v>75</v>
      </c>
      <c r="B13" s="6" t="s">
        <v>76</v>
      </c>
      <c r="C13" s="7" t="s">
        <v>77</v>
      </c>
      <c r="D13" s="7" t="s">
        <v>78</v>
      </c>
      <c r="E13" s="7" t="s">
        <v>79</v>
      </c>
      <c r="F13" s="8" t="n">
        <v>3</v>
      </c>
      <c r="G13" s="8" t="n">
        <v>3</v>
      </c>
      <c r="H13" s="5" t="n">
        <f aca="false">F13*G13</f>
        <v>9</v>
      </c>
      <c r="I13" s="13" t="str">
        <f aca="false">IF(H13&gt;=17,"Extremo",IF(H13&gt;=10,"Alto",IF(H13&gt;=5,"Medio","Bajo")))</f>
        <v>Medio</v>
      </c>
      <c r="J13" s="10" t="s">
        <v>23</v>
      </c>
      <c r="K13" s="7" t="s">
        <v>80</v>
      </c>
      <c r="L13" s="7" t="s">
        <v>81</v>
      </c>
      <c r="M13" s="6" t="s">
        <v>60</v>
      </c>
      <c r="N13" s="10" t="s">
        <v>27</v>
      </c>
      <c r="O13" s="11" t="s">
        <v>28</v>
      </c>
    </row>
    <row r="14" customFormat="false" ht="22.35" hidden="false" customHeight="false" outlineLevel="0" collapsed="false">
      <c r="A14" s="5" t="s">
        <v>82</v>
      </c>
      <c r="B14" s="6" t="s">
        <v>83</v>
      </c>
      <c r="C14" s="7" t="s">
        <v>84</v>
      </c>
      <c r="D14" s="7" t="s">
        <v>85</v>
      </c>
      <c r="E14" s="7" t="s">
        <v>86</v>
      </c>
      <c r="F14" s="8" t="n">
        <v>3</v>
      </c>
      <c r="G14" s="8" t="n">
        <v>4</v>
      </c>
      <c r="H14" s="5" t="n">
        <f aca="false">F14*G14</f>
        <v>12</v>
      </c>
      <c r="I14" s="12" t="str">
        <f aca="false">IF(H14&gt;=17,"Extremo",IF(H14&gt;=10,"Alto",IF(H14&gt;=5,"Medio","Bajo")))</f>
        <v>Alto</v>
      </c>
      <c r="J14" s="10" t="s">
        <v>23</v>
      </c>
      <c r="K14" s="7" t="s">
        <v>87</v>
      </c>
      <c r="L14" s="7" t="s">
        <v>88</v>
      </c>
      <c r="M14" s="6" t="s">
        <v>36</v>
      </c>
      <c r="N14" s="10" t="s">
        <v>27</v>
      </c>
      <c r="O14" s="11" t="s">
        <v>28</v>
      </c>
    </row>
    <row r="15" customFormat="false" ht="22.35" hidden="false" customHeight="false" outlineLevel="0" collapsed="false">
      <c r="A15" s="5" t="s">
        <v>89</v>
      </c>
      <c r="B15" s="6" t="s">
        <v>90</v>
      </c>
      <c r="C15" s="7" t="s">
        <v>91</v>
      </c>
      <c r="D15" s="7" t="s">
        <v>92</v>
      </c>
      <c r="E15" s="7" t="s">
        <v>93</v>
      </c>
      <c r="F15" s="8" t="n">
        <v>3</v>
      </c>
      <c r="G15" s="8" t="n">
        <v>4</v>
      </c>
      <c r="H15" s="5" t="n">
        <f aca="false">F15*G15</f>
        <v>12</v>
      </c>
      <c r="I15" s="12" t="str">
        <f aca="false">IF(H15&gt;=17,"Extremo",IF(H15&gt;=10,"Alto",IF(H15&gt;=5,"Medio","Bajo")))</f>
        <v>Alto</v>
      </c>
      <c r="J15" s="10" t="s">
        <v>23</v>
      </c>
      <c r="K15" s="7" t="s">
        <v>94</v>
      </c>
      <c r="L15" s="7" t="s">
        <v>95</v>
      </c>
      <c r="M15" s="6" t="s">
        <v>96</v>
      </c>
      <c r="N15" s="10" t="s">
        <v>27</v>
      </c>
      <c r="O15" s="11" t="s">
        <v>28</v>
      </c>
    </row>
    <row r="16" customFormat="false" ht="22.35" hidden="false" customHeight="false" outlineLevel="0" collapsed="false">
      <c r="A16" s="5" t="s">
        <v>97</v>
      </c>
      <c r="B16" s="6" t="s">
        <v>54</v>
      </c>
      <c r="C16" s="7" t="s">
        <v>98</v>
      </c>
      <c r="D16" s="7" t="s">
        <v>99</v>
      </c>
      <c r="E16" s="7" t="s">
        <v>100</v>
      </c>
      <c r="F16" s="8" t="n">
        <v>2</v>
      </c>
      <c r="G16" s="8" t="n">
        <v>5</v>
      </c>
      <c r="H16" s="5" t="n">
        <f aca="false">F16*G16</f>
        <v>10</v>
      </c>
      <c r="I16" s="12" t="str">
        <f aca="false">IF(H16&gt;=17,"Extremo",IF(H16&gt;=10,"Alto",IF(H16&gt;=5,"Medio","Bajo")))</f>
        <v>Alto</v>
      </c>
      <c r="J16" s="10" t="s">
        <v>101</v>
      </c>
      <c r="K16" s="7" t="s">
        <v>102</v>
      </c>
      <c r="L16" s="7" t="s">
        <v>103</v>
      </c>
      <c r="M16" s="6" t="s">
        <v>26</v>
      </c>
      <c r="N16" s="10" t="s">
        <v>27</v>
      </c>
      <c r="O16" s="11" t="s">
        <v>28</v>
      </c>
    </row>
    <row r="17" customFormat="false" ht="22.35" hidden="false" customHeight="false" outlineLevel="0" collapsed="false">
      <c r="A17" s="5" t="s">
        <v>104</v>
      </c>
      <c r="B17" s="6" t="s">
        <v>105</v>
      </c>
      <c r="C17" s="7" t="s">
        <v>106</v>
      </c>
      <c r="D17" s="7" t="s">
        <v>107</v>
      </c>
      <c r="E17" s="7" t="s">
        <v>108</v>
      </c>
      <c r="F17" s="8" t="n">
        <v>3</v>
      </c>
      <c r="G17" s="8" t="n">
        <v>4</v>
      </c>
      <c r="H17" s="5" t="n">
        <f aca="false">F17*G17</f>
        <v>12</v>
      </c>
      <c r="I17" s="12" t="str">
        <f aca="false">IF(H17&gt;=17,"Extremo",IF(H17&gt;=10,"Alto",IF(H17&gt;=5,"Medio","Bajo")))</f>
        <v>Alto</v>
      </c>
      <c r="J17" s="10" t="s">
        <v>23</v>
      </c>
      <c r="K17" s="7" t="s">
        <v>109</v>
      </c>
      <c r="L17" s="7" t="s">
        <v>110</v>
      </c>
      <c r="M17" s="6" t="s">
        <v>36</v>
      </c>
      <c r="N17" s="10" t="s">
        <v>27</v>
      </c>
      <c r="O17" s="11" t="s">
        <v>28</v>
      </c>
    </row>
    <row r="18" customFormat="false" ht="32.8" hidden="false" customHeight="false" outlineLevel="0" collapsed="false">
      <c r="A18" s="5" t="s">
        <v>111</v>
      </c>
      <c r="B18" s="6" t="s">
        <v>76</v>
      </c>
      <c r="C18" s="7" t="s">
        <v>112</v>
      </c>
      <c r="D18" s="7" t="s">
        <v>113</v>
      </c>
      <c r="E18" s="7" t="s">
        <v>114</v>
      </c>
      <c r="F18" s="8" t="n">
        <v>3</v>
      </c>
      <c r="G18" s="8" t="n">
        <v>3</v>
      </c>
      <c r="H18" s="5" t="n">
        <f aca="false">F18*G18</f>
        <v>9</v>
      </c>
      <c r="I18" s="13" t="str">
        <f aca="false">IF(H18&gt;=17,"Extremo",IF(H18&gt;=10,"Alto",IF(H18&gt;=5,"Medio","Bajo")))</f>
        <v>Medio</v>
      </c>
      <c r="J18" s="10" t="s">
        <v>23</v>
      </c>
      <c r="K18" s="7" t="s">
        <v>115</v>
      </c>
      <c r="L18" s="7" t="s">
        <v>116</v>
      </c>
      <c r="M18" s="6" t="s">
        <v>96</v>
      </c>
      <c r="N18" s="10" t="s">
        <v>27</v>
      </c>
      <c r="O18" s="11" t="s">
        <v>28</v>
      </c>
    </row>
    <row r="19" customFormat="false" ht="22.35" hidden="false" customHeight="false" outlineLevel="0" collapsed="false">
      <c r="A19" s="5" t="s">
        <v>117</v>
      </c>
      <c r="B19" s="6" t="s">
        <v>30</v>
      </c>
      <c r="C19" s="7" t="s">
        <v>118</v>
      </c>
      <c r="D19" s="7" t="s">
        <v>119</v>
      </c>
      <c r="E19" s="7" t="s">
        <v>120</v>
      </c>
      <c r="F19" s="8" t="n">
        <v>4</v>
      </c>
      <c r="G19" s="8" t="n">
        <v>3</v>
      </c>
      <c r="H19" s="5" t="n">
        <f aca="false">F19*G19</f>
        <v>12</v>
      </c>
      <c r="I19" s="12" t="str">
        <f aca="false">IF(H19&gt;=17,"Extremo",IF(H19&gt;=10,"Alto",IF(H19&gt;=5,"Medio","Bajo")))</f>
        <v>Alto</v>
      </c>
      <c r="J19" s="10" t="s">
        <v>23</v>
      </c>
      <c r="K19" s="7" t="s">
        <v>121</v>
      </c>
      <c r="L19" s="7" t="s">
        <v>122</v>
      </c>
      <c r="M19" s="6" t="s">
        <v>60</v>
      </c>
      <c r="N19" s="10" t="s">
        <v>27</v>
      </c>
      <c r="O19" s="11" t="s">
        <v>28</v>
      </c>
    </row>
    <row r="20" customFormat="false" ht="22.35" hidden="false" customHeight="false" outlineLevel="0" collapsed="false">
      <c r="A20" s="5" t="s">
        <v>123</v>
      </c>
      <c r="B20" s="6" t="s">
        <v>62</v>
      </c>
      <c r="C20" s="7" t="s">
        <v>124</v>
      </c>
      <c r="D20" s="7" t="s">
        <v>125</v>
      </c>
      <c r="E20" s="7" t="s">
        <v>126</v>
      </c>
      <c r="F20" s="8" t="n">
        <v>3</v>
      </c>
      <c r="G20" s="8" t="n">
        <v>3</v>
      </c>
      <c r="H20" s="5" t="n">
        <f aca="false">F20*G20</f>
        <v>9</v>
      </c>
      <c r="I20" s="13" t="str">
        <f aca="false">IF(H20&gt;=17,"Extremo",IF(H20&gt;=10,"Alto",IF(H20&gt;=5,"Medio","Bajo")))</f>
        <v>Medio</v>
      </c>
      <c r="J20" s="10" t="s">
        <v>127</v>
      </c>
      <c r="K20" s="7" t="s">
        <v>128</v>
      </c>
      <c r="L20" s="7" t="s">
        <v>129</v>
      </c>
      <c r="M20" s="6" t="s">
        <v>36</v>
      </c>
      <c r="N20" s="10" t="s">
        <v>27</v>
      </c>
      <c r="O20" s="11" t="s">
        <v>28</v>
      </c>
    </row>
    <row r="22" customFormat="false" ht="15" hidden="false" customHeight="false" outlineLevel="0" collapsed="false">
      <c r="B22" s="14" t="s">
        <v>130</v>
      </c>
    </row>
    <row r="23" customFormat="false" ht="15" hidden="false" customHeight="false" outlineLevel="0" collapsed="false">
      <c r="B23" s="15" t="s">
        <v>131</v>
      </c>
      <c r="F23" s="16" t="n">
        <f aca="false">COUNTA(A6:A20)</f>
        <v>15</v>
      </c>
    </row>
    <row r="24" customFormat="false" ht="15" hidden="false" customHeight="false" outlineLevel="0" collapsed="false">
      <c r="B24" s="15" t="s">
        <v>132</v>
      </c>
      <c r="F24" s="16" t="n">
        <f aca="false">COUNTIF(I6:I20,"Extremo")</f>
        <v>2</v>
      </c>
    </row>
    <row r="25" customFormat="false" ht="15" hidden="false" customHeight="false" outlineLevel="0" collapsed="false">
      <c r="B25" s="15" t="s">
        <v>133</v>
      </c>
      <c r="F25" s="16" t="n">
        <f aca="false">COUNTIF(I6:I20,"Alto")</f>
        <v>10</v>
      </c>
    </row>
    <row r="26" customFormat="false" ht="15" hidden="false" customHeight="false" outlineLevel="0" collapsed="false">
      <c r="B26" s="15" t="s">
        <v>134</v>
      </c>
      <c r="F26" s="16" t="n">
        <f aca="false">COUNTIF(I6:I20,"Medio")</f>
        <v>3</v>
      </c>
    </row>
    <row r="27" customFormat="false" ht="15" hidden="false" customHeight="false" outlineLevel="0" collapsed="false">
      <c r="B27" s="15" t="s">
        <v>135</v>
      </c>
      <c r="F27" s="16" t="n">
        <f aca="false">COUNTIF(I6:I20,"Bajo")</f>
        <v>0</v>
      </c>
    </row>
    <row r="28" customFormat="false" ht="15" hidden="false" customHeight="false" outlineLevel="0" collapsed="false">
      <c r="B28" s="15" t="s">
        <v>136</v>
      </c>
      <c r="F28" s="16" t="n">
        <f aca="false">COUNTIF(N6:N20,"Materializado")</f>
        <v>2</v>
      </c>
    </row>
    <row r="29" customFormat="false" ht="15" hidden="false" customHeight="false" outlineLevel="0" collapsed="false">
      <c r="B29" s="15" t="s">
        <v>137</v>
      </c>
      <c r="F29" s="17" t="n">
        <f aca="false">AVERAGE(H6:H20)</f>
        <v>13.4666666666667</v>
      </c>
    </row>
    <row r="31" customFormat="false" ht="15" hidden="false" customHeight="false" outlineLevel="0" collapsed="false">
      <c r="B31" s="3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30" hidden="false" customHeight="true" outlineLevel="0" collapsed="false">
      <c r="A4" s="4" t="s">
        <v>141</v>
      </c>
      <c r="B4" s="4" t="s">
        <v>142</v>
      </c>
      <c r="C4" s="4" t="s">
        <v>143</v>
      </c>
      <c r="D4" s="4" t="s">
        <v>144</v>
      </c>
      <c r="E4" s="4" t="s">
        <v>145</v>
      </c>
      <c r="F4" s="4" t="s">
        <v>146</v>
      </c>
    </row>
    <row r="5" customFormat="false" ht="43.5" hidden="false" customHeight="true" outlineLevel="0" collapsed="false">
      <c r="A5" s="18" t="s">
        <v>147</v>
      </c>
      <c r="B5" s="19"/>
      <c r="C5" s="20"/>
      <c r="D5" s="20"/>
      <c r="E5" s="21" t="s">
        <v>29</v>
      </c>
      <c r="F5" s="21"/>
    </row>
    <row r="6" customFormat="false" ht="43.5" hidden="false" customHeight="true" outlineLevel="0" collapsed="false">
      <c r="A6" s="18" t="s">
        <v>148</v>
      </c>
      <c r="B6" s="22"/>
      <c r="C6" s="19"/>
      <c r="D6" s="20" t="s">
        <v>117</v>
      </c>
      <c r="E6" s="20" t="s">
        <v>149</v>
      </c>
      <c r="F6" s="21" t="s">
        <v>18</v>
      </c>
    </row>
    <row r="7" customFormat="false" ht="43.5" hidden="false" customHeight="true" outlineLevel="0" collapsed="false">
      <c r="A7" s="18" t="s">
        <v>150</v>
      </c>
      <c r="B7" s="22"/>
      <c r="C7" s="19"/>
      <c r="D7" s="19" t="s">
        <v>151</v>
      </c>
      <c r="E7" s="20" t="s">
        <v>152</v>
      </c>
      <c r="F7" s="20" t="s">
        <v>153</v>
      </c>
    </row>
    <row r="8" customFormat="false" ht="43.5" hidden="false" customHeight="true" outlineLevel="0" collapsed="false">
      <c r="A8" s="18" t="s">
        <v>154</v>
      </c>
      <c r="B8" s="22"/>
      <c r="C8" s="22"/>
      <c r="D8" s="19"/>
      <c r="E8" s="19"/>
      <c r="F8" s="20" t="s">
        <v>97</v>
      </c>
    </row>
    <row r="9" customFormat="false" ht="43.5" hidden="false" customHeight="true" outlineLevel="0" collapsed="false">
      <c r="A9" s="18" t="s">
        <v>155</v>
      </c>
      <c r="B9" s="22"/>
      <c r="C9" s="22"/>
      <c r="D9" s="22"/>
      <c r="E9" s="22"/>
      <c r="F9" s="19"/>
    </row>
    <row r="11" customFormat="false" ht="15" hidden="false" customHeight="false" outlineLevel="0" collapsed="false">
      <c r="A11" s="23" t="s">
        <v>156</v>
      </c>
    </row>
    <row r="12" customFormat="false" ht="15" hidden="false" customHeight="false" outlineLevel="0" collapsed="false">
      <c r="B12" s="24" t="s">
        <v>157</v>
      </c>
      <c r="C12" s="25" t="s">
        <v>158</v>
      </c>
      <c r="D12" s="26" t="s">
        <v>159</v>
      </c>
      <c r="E12" s="27" t="s">
        <v>160</v>
      </c>
    </row>
    <row r="14" customFormat="false" ht="15" hidden="false" customHeight="false" outlineLevel="0" collapsed="false">
      <c r="A14" s="3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58"/>
    <col collapsed="false" customWidth="true" hidden="false" outlineLevel="0" max="6" min="6" style="0" width="66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62"/>
  </cols>
  <sheetData>
    <row r="1" customFormat="false" ht="17.3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" t="s">
        <v>163</v>
      </c>
    </row>
    <row r="4" customFormat="false" ht="36" hidden="false" customHeight="true" outlineLevel="0" collapsed="false">
      <c r="A4" s="4" t="s">
        <v>164</v>
      </c>
      <c r="B4" s="4" t="s">
        <v>165</v>
      </c>
      <c r="C4" s="4" t="s">
        <v>166</v>
      </c>
      <c r="D4" s="4" t="s">
        <v>167</v>
      </c>
      <c r="E4" s="4" t="s">
        <v>168</v>
      </c>
      <c r="F4" s="4" t="s">
        <v>169</v>
      </c>
      <c r="G4" s="4" t="s">
        <v>15</v>
      </c>
      <c r="H4" s="4" t="s">
        <v>170</v>
      </c>
      <c r="I4" s="4" t="s">
        <v>16</v>
      </c>
      <c r="J4" s="4" t="s">
        <v>171</v>
      </c>
    </row>
    <row r="5" customFormat="false" ht="32.8" hidden="false" customHeight="false" outlineLevel="0" collapsed="false">
      <c r="A5" s="5" t="s">
        <v>172</v>
      </c>
      <c r="B5" s="11" t="s">
        <v>29</v>
      </c>
      <c r="C5" s="11" t="s">
        <v>173</v>
      </c>
      <c r="D5" s="7" t="s">
        <v>174</v>
      </c>
      <c r="E5" s="7" t="s">
        <v>175</v>
      </c>
      <c r="F5" s="7" t="s">
        <v>176</v>
      </c>
      <c r="G5" s="6" t="s">
        <v>36</v>
      </c>
      <c r="H5" s="11" t="s">
        <v>177</v>
      </c>
      <c r="I5" s="11" t="s">
        <v>178</v>
      </c>
      <c r="J5" s="7" t="s">
        <v>179</v>
      </c>
    </row>
    <row r="6" customFormat="false" ht="32.8" hidden="false" customHeight="false" outlineLevel="0" collapsed="false">
      <c r="A6" s="5" t="s">
        <v>180</v>
      </c>
      <c r="B6" s="11" t="s">
        <v>68</v>
      </c>
      <c r="C6" s="11" t="s">
        <v>181</v>
      </c>
      <c r="D6" s="7" t="s">
        <v>182</v>
      </c>
      <c r="E6" s="7" t="s">
        <v>183</v>
      </c>
      <c r="F6" s="7" t="s">
        <v>184</v>
      </c>
      <c r="G6" s="6" t="s">
        <v>60</v>
      </c>
      <c r="H6" s="11" t="s">
        <v>185</v>
      </c>
      <c r="I6" s="11" t="s">
        <v>178</v>
      </c>
      <c r="J6" s="7" t="s">
        <v>186</v>
      </c>
    </row>
    <row r="9" customFormat="false" ht="15" hidden="false" customHeight="false" outlineLevel="0" collapsed="false">
      <c r="A9" s="3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2026-10-16T00:18:09Z</dcterms:created>
  <dc:creator>openpyxl</dc:creator>
  <dc:description/>
  <dc:language>en-US</dc:language>
  <cp:lastModifiedBy/>
  <dcterms:modified xsi:type="dcterms:W3CDTF">2026-10-16T00:18:09Z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